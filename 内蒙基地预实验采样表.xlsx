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hucankun\Documents\WeChat Files\wxid_1x6u3yi4q08y22\FileStorage\File\2022-09\"/>
    </mc:Choice>
  </mc:AlternateContent>
  <xr:revisionPtr revIDLastSave="0" documentId="13_ncr:1_{EE5925E8-343B-43C3-997D-0EB564A5930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内蒙基地预实验采样表" sheetId="1" r:id="rId1"/>
    <sheet name="样本清单" sheetId="4" r:id="rId2"/>
    <sheet name="PCR扩增" sheetId="5" r:id="rId3"/>
    <sheet name="Sheet1" sheetId="6" r:id="rId4"/>
  </sheets>
  <definedNames>
    <definedName name="_xlnm._FilterDatabase" localSheetId="3" hidden="1">Sheet1!$A$1:$K$93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2" i="6"/>
  <c r="M2" i="5"/>
  <c r="M3" i="5"/>
  <c r="M4" i="5"/>
  <c r="M5" i="5"/>
  <c r="M10" i="5"/>
</calcChain>
</file>

<file path=xl/sharedStrings.xml><?xml version="1.0" encoding="utf-8"?>
<sst xmlns="http://schemas.openxmlformats.org/spreadsheetml/2006/main" count="968" uniqueCount="356">
  <si>
    <t>A筐，变土20公分，未种植物，只测两周</t>
  </si>
  <si>
    <t>B筐，变土20公分，黄豆、葵花混种，采集根部样本</t>
  </si>
  <si>
    <t>日期</t>
  </si>
  <si>
    <t>时间</t>
  </si>
  <si>
    <t>试管编号</t>
  </si>
  <si>
    <t>备注</t>
  </si>
  <si>
    <t>是否已采</t>
  </si>
  <si>
    <t>5月16日</t>
  </si>
  <si>
    <t>A-0</t>
  </si>
  <si>
    <t>原沙</t>
  </si>
  <si>
    <t>√</t>
  </si>
  <si>
    <t>B-1</t>
  </si>
  <si>
    <t>刚刚变土完成，未种植</t>
  </si>
  <si>
    <t>A-1</t>
  </si>
  <si>
    <t>刚刚变土完成</t>
  </si>
  <si>
    <t>以下表格，等作物发芽后采样记录。每种作物剪取根系，放入无菌管中；</t>
  </si>
  <si>
    <t>A-2</t>
  </si>
  <si>
    <t>各种作物，只取一个样即可;黄豆编号为B，葵花为C；一周一次；</t>
  </si>
  <si>
    <t>A-3</t>
  </si>
  <si>
    <t>B-2</t>
  </si>
  <si>
    <t>黄豆出芽后第一次采样</t>
  </si>
  <si>
    <t>A-4</t>
  </si>
  <si>
    <t>C-2</t>
  </si>
  <si>
    <t>葵花出芽后第一次采样</t>
  </si>
  <si>
    <t>A-5</t>
  </si>
  <si>
    <t>BS-2</t>
  </si>
  <si>
    <t>第一次采样时，黄豆根周边土壤样本</t>
  </si>
  <si>
    <t>A-6</t>
  </si>
  <si>
    <t>CS-2</t>
  </si>
  <si>
    <t>第一次采样时，葵花根周边土壤样本</t>
  </si>
  <si>
    <t>A-7</t>
  </si>
  <si>
    <t>B-3</t>
  </si>
  <si>
    <t>黄豆第一次采样后，隔一周</t>
  </si>
  <si>
    <t>A-8</t>
  </si>
  <si>
    <t>C-3</t>
  </si>
  <si>
    <t>葵花第一次采样后，隔一周</t>
  </si>
  <si>
    <t>A-9</t>
  </si>
  <si>
    <t>B-4</t>
  </si>
  <si>
    <t>黄豆第一次采样后，隔两周</t>
  </si>
  <si>
    <t>A-10</t>
  </si>
  <si>
    <t>C-4</t>
  </si>
  <si>
    <t>葵花第一次采样后，隔两周</t>
  </si>
  <si>
    <t>5月17日</t>
  </si>
  <si>
    <t>A-11</t>
  </si>
  <si>
    <t>B-5</t>
  </si>
  <si>
    <t>隔三周</t>
  </si>
  <si>
    <t>A-12</t>
  </si>
  <si>
    <t>C-5</t>
  </si>
  <si>
    <t>A-13</t>
  </si>
  <si>
    <t>B-6</t>
  </si>
  <si>
    <t>隔四周</t>
  </si>
  <si>
    <t>A-14</t>
  </si>
  <si>
    <t>C-6</t>
  </si>
  <si>
    <t>A-15</t>
  </si>
  <si>
    <t>B-7</t>
  </si>
  <si>
    <t>隔五周</t>
  </si>
  <si>
    <t>A-16</t>
  </si>
  <si>
    <t>C-7</t>
  </si>
  <si>
    <t>A-17</t>
  </si>
  <si>
    <t>B-8</t>
  </si>
  <si>
    <t>A-18</t>
  </si>
  <si>
    <t>C-8</t>
  </si>
  <si>
    <t>A-19</t>
  </si>
  <si>
    <t>B-9</t>
  </si>
  <si>
    <t>A-20</t>
  </si>
  <si>
    <t>当日浇水前</t>
  </si>
  <si>
    <t>C-9</t>
  </si>
  <si>
    <t>5月18日</t>
  </si>
  <si>
    <t>A-21</t>
  </si>
  <si>
    <t>B-10</t>
  </si>
  <si>
    <t>A-22</t>
  </si>
  <si>
    <t>浇水前，大约晚上6-7点</t>
  </si>
  <si>
    <t>C-10</t>
  </si>
  <si>
    <t>5月19日</t>
  </si>
  <si>
    <t>A-23</t>
  </si>
  <si>
    <t>A-24</t>
  </si>
  <si>
    <t>5月20日</t>
  </si>
  <si>
    <t>A-25</t>
  </si>
  <si>
    <t>A-26</t>
  </si>
  <si>
    <t>5月21日</t>
  </si>
  <si>
    <t>A-27</t>
  </si>
  <si>
    <t>A-28</t>
  </si>
  <si>
    <t>5月22日</t>
  </si>
  <si>
    <t>A-29</t>
  </si>
  <si>
    <t>A-30</t>
  </si>
  <si>
    <t>5月23日</t>
  </si>
  <si>
    <t>A-31</t>
  </si>
  <si>
    <t>5月24日</t>
  </si>
  <si>
    <t>A-32</t>
  </si>
  <si>
    <t>5月25日</t>
  </si>
  <si>
    <t>A-33</t>
  </si>
  <si>
    <t>5月26日</t>
  </si>
  <si>
    <t>A-34</t>
  </si>
  <si>
    <t>5月27日</t>
  </si>
  <si>
    <t>A-35</t>
  </si>
  <si>
    <t>5月28日</t>
  </si>
  <si>
    <t>A-36</t>
  </si>
  <si>
    <t>采样到B筐中没有多的植物可继续采集时停止</t>
  </si>
  <si>
    <t>5月29日</t>
  </si>
  <si>
    <t>A-37</t>
  </si>
  <si>
    <t>土豆1</t>
  </si>
  <si>
    <t>T-1</t>
    <phoneticPr fontId="6" type="noConversion"/>
  </si>
  <si>
    <t>狼尾草1</t>
  </si>
  <si>
    <t>LW-1</t>
    <phoneticPr fontId="6" type="noConversion"/>
  </si>
  <si>
    <t>GR-01</t>
    <phoneticPr fontId="6" type="noConversion"/>
  </si>
  <si>
    <t>高粱地50cm深</t>
  </si>
  <si>
    <t>G-5</t>
    <phoneticPr fontId="6" type="noConversion"/>
  </si>
  <si>
    <t>高粱地40cm深</t>
  </si>
  <si>
    <t>G-4</t>
    <phoneticPr fontId="6" type="noConversion"/>
  </si>
  <si>
    <t>高粱地30cm深</t>
  </si>
  <si>
    <t>G-3</t>
    <phoneticPr fontId="6" type="noConversion"/>
  </si>
  <si>
    <t>高粱地20cm深</t>
  </si>
  <si>
    <t>G-2</t>
    <phoneticPr fontId="6" type="noConversion"/>
  </si>
  <si>
    <t>高粱地 10cm深</t>
  </si>
  <si>
    <t>G-1</t>
    <phoneticPr fontId="6" type="noConversion"/>
  </si>
  <si>
    <t>高粱地 表面</t>
  </si>
  <si>
    <t>G-0</t>
    <phoneticPr fontId="6" type="noConversion"/>
  </si>
  <si>
    <t>B-1</t>
    <phoneticPr fontId="6" type="noConversion"/>
  </si>
  <si>
    <t>B-0皮</t>
    <phoneticPr fontId="6" type="noConversion"/>
  </si>
  <si>
    <t>原沙</t>
    <phoneticPr fontId="6" type="noConversion"/>
  </si>
  <si>
    <t>备注</t>
    <phoneticPr fontId="6" type="noConversion"/>
  </si>
  <si>
    <t>样本名称</t>
    <phoneticPr fontId="6" type="noConversion"/>
  </si>
  <si>
    <t>#</t>
    <phoneticPr fontId="6" type="noConversion"/>
  </si>
  <si>
    <t>LW-2</t>
  </si>
  <si>
    <t>T-2</t>
  </si>
  <si>
    <t>狼尾草2（寄回内蒙）</t>
    <phoneticPr fontId="4" type="noConversion"/>
  </si>
  <si>
    <t>土豆2（寄回内蒙）</t>
    <phoneticPr fontId="4" type="noConversion"/>
  </si>
  <si>
    <t>A0-1</t>
    <phoneticPr fontId="4" type="noConversion"/>
  </si>
  <si>
    <t>A0-2</t>
  </si>
  <si>
    <t>A0-3</t>
  </si>
  <si>
    <t>A0-4</t>
  </si>
  <si>
    <t>A1-1</t>
    <phoneticPr fontId="4" type="noConversion"/>
  </si>
  <si>
    <t>A1-2</t>
  </si>
  <si>
    <t>A1-3</t>
  </si>
  <si>
    <t>A1-4</t>
  </si>
  <si>
    <t>A2-1</t>
    <phoneticPr fontId="4" type="noConversion"/>
  </si>
  <si>
    <t>A2-2</t>
    <phoneticPr fontId="4" type="noConversion"/>
  </si>
  <si>
    <t>A3-1</t>
    <phoneticPr fontId="4" type="noConversion"/>
  </si>
  <si>
    <t>A3-2</t>
  </si>
  <si>
    <t>A4-1</t>
    <phoneticPr fontId="4" type="noConversion"/>
  </si>
  <si>
    <t>A4-2</t>
  </si>
  <si>
    <t>A5-1</t>
    <phoneticPr fontId="4" type="noConversion"/>
  </si>
  <si>
    <t>A5-2</t>
  </si>
  <si>
    <t>A6-1</t>
    <phoneticPr fontId="4" type="noConversion"/>
  </si>
  <si>
    <t>A6-2</t>
  </si>
  <si>
    <t>1h</t>
    <phoneticPr fontId="4" type="noConversion"/>
  </si>
  <si>
    <t>2h</t>
  </si>
  <si>
    <t>3h</t>
  </si>
  <si>
    <t>4h</t>
  </si>
  <si>
    <t>5h</t>
  </si>
  <si>
    <t>GR</t>
    <phoneticPr fontId="6" type="noConversion"/>
  </si>
  <si>
    <t>与A-1一样，不提DNA</t>
    <phoneticPr fontId="4" type="noConversion"/>
  </si>
  <si>
    <t>高粱地根际土</t>
    <phoneticPr fontId="4" type="noConversion"/>
  </si>
  <si>
    <t>高粱地 5cm深</t>
    <phoneticPr fontId="4" type="noConversion"/>
  </si>
  <si>
    <t>第二批</t>
    <phoneticPr fontId="4" type="noConversion"/>
  </si>
  <si>
    <t>A-23</t>
    <phoneticPr fontId="4" type="noConversion"/>
  </si>
  <si>
    <t>A-32</t>
    <phoneticPr fontId="4" type="noConversion"/>
  </si>
  <si>
    <t>A-34</t>
    <phoneticPr fontId="4" type="noConversion"/>
  </si>
  <si>
    <t>BS-2</t>
    <phoneticPr fontId="4" type="noConversion"/>
  </si>
  <si>
    <t>CS-2</t>
    <phoneticPr fontId="4" type="noConversion"/>
  </si>
  <si>
    <t>F12</t>
  </si>
  <si>
    <t>E12</t>
  </si>
  <si>
    <t>10ul</t>
  </si>
  <si>
    <t>C3-2</t>
  </si>
  <si>
    <t>D12</t>
  </si>
  <si>
    <t>C12</t>
  </si>
  <si>
    <t>A34</t>
  </si>
  <si>
    <t>B12</t>
  </si>
  <si>
    <t>A32</t>
  </si>
  <si>
    <t>A12</t>
  </si>
  <si>
    <t>A30</t>
  </si>
  <si>
    <t>H11</t>
  </si>
  <si>
    <t>A29</t>
  </si>
  <si>
    <t>G11</t>
  </si>
  <si>
    <t>A28</t>
  </si>
  <si>
    <t>F11</t>
  </si>
  <si>
    <t>A27</t>
  </si>
  <si>
    <t>E11</t>
  </si>
  <si>
    <t>A26</t>
  </si>
  <si>
    <t>D11</t>
  </si>
  <si>
    <t>A25</t>
  </si>
  <si>
    <t>C11</t>
  </si>
  <si>
    <t>A24</t>
  </si>
  <si>
    <t>B11</t>
  </si>
  <si>
    <t>A23</t>
  </si>
  <si>
    <t>A11</t>
  </si>
  <si>
    <t>T-1</t>
  </si>
  <si>
    <t>H10</t>
  </si>
  <si>
    <t>LW-1</t>
  </si>
  <si>
    <t>G10</t>
  </si>
  <si>
    <t>GR-01</t>
  </si>
  <si>
    <t>F10</t>
  </si>
  <si>
    <t>G-5</t>
  </si>
  <si>
    <t>E10</t>
  </si>
  <si>
    <t>G-4</t>
  </si>
  <si>
    <t>D10</t>
  </si>
  <si>
    <t>G-3</t>
  </si>
  <si>
    <t>C10</t>
  </si>
  <si>
    <t>G-2</t>
  </si>
  <si>
    <t>B10</t>
  </si>
  <si>
    <t>G-1</t>
  </si>
  <si>
    <t>A10</t>
  </si>
  <si>
    <t>G-0</t>
  </si>
  <si>
    <t>H9</t>
  </si>
  <si>
    <t>B-0皮</t>
  </si>
  <si>
    <t>G9</t>
  </si>
  <si>
    <t>F9</t>
  </si>
  <si>
    <t>E9</t>
  </si>
  <si>
    <t>D9</t>
  </si>
  <si>
    <t>C9</t>
  </si>
  <si>
    <t>B9</t>
  </si>
  <si>
    <t>A9</t>
  </si>
  <si>
    <t>H8</t>
  </si>
  <si>
    <t>G8</t>
  </si>
  <si>
    <t>F8</t>
  </si>
  <si>
    <t>E8</t>
  </si>
  <si>
    <t>D8</t>
  </si>
  <si>
    <t>C8</t>
  </si>
  <si>
    <t>B8</t>
  </si>
  <si>
    <t>A8</t>
  </si>
  <si>
    <t>H7</t>
  </si>
  <si>
    <t>G7</t>
  </si>
  <si>
    <t>F7</t>
  </si>
  <si>
    <t>E7</t>
  </si>
  <si>
    <t>D7</t>
  </si>
  <si>
    <t>C7</t>
  </si>
  <si>
    <t>B7</t>
  </si>
  <si>
    <t>A7</t>
  </si>
  <si>
    <t>H6</t>
  </si>
  <si>
    <t>G6</t>
  </si>
  <si>
    <t>F6</t>
  </si>
  <si>
    <t>E6</t>
  </si>
  <si>
    <t>D6</t>
  </si>
  <si>
    <t>12℃</t>
  </si>
  <si>
    <t>C6</t>
  </si>
  <si>
    <t>5min</t>
  </si>
  <si>
    <t>72℃</t>
  </si>
  <si>
    <t>B6</t>
  </si>
  <si>
    <t>30S</t>
  </si>
  <si>
    <t>A6</t>
  </si>
  <si>
    <t>ITS</t>
  </si>
  <si>
    <t>58℃</t>
  </si>
  <si>
    <t>H5</t>
  </si>
  <si>
    <t>循环30次</t>
  </si>
  <si>
    <t>10S</t>
  </si>
  <si>
    <t>98℃</t>
  </si>
  <si>
    <t>G5</t>
  </si>
  <si>
    <t>F5</t>
  </si>
  <si>
    <t>温度</t>
  </si>
  <si>
    <t>E5</t>
  </si>
  <si>
    <t>D5</t>
  </si>
  <si>
    <t>2022.6.10</t>
  </si>
  <si>
    <t>C5</t>
  </si>
  <si>
    <t>B5</t>
  </si>
  <si>
    <t>A5</t>
  </si>
  <si>
    <t>H4</t>
  </si>
  <si>
    <t>16S</t>
  </si>
  <si>
    <t>60℃</t>
  </si>
  <si>
    <t>G4</t>
  </si>
  <si>
    <t>F4</t>
  </si>
  <si>
    <t>E4</t>
  </si>
  <si>
    <t>D4</t>
  </si>
  <si>
    <t>C4</t>
  </si>
  <si>
    <t>B4</t>
  </si>
  <si>
    <t>水</t>
  </si>
  <si>
    <t>A4</t>
  </si>
  <si>
    <t>spile 104</t>
  </si>
  <si>
    <t>H3</t>
  </si>
  <si>
    <t>反向引物</t>
  </si>
  <si>
    <t>G3</t>
  </si>
  <si>
    <t>正向引物</t>
  </si>
  <si>
    <t>F3</t>
  </si>
  <si>
    <t>dNTP(10 mM)</t>
  </si>
  <si>
    <t>E3</t>
  </si>
  <si>
    <t>MgCl2</t>
  </si>
  <si>
    <t>D3</t>
  </si>
  <si>
    <t>Buffer</t>
  </si>
  <si>
    <t>C3</t>
  </si>
  <si>
    <t>高保真酶</t>
  </si>
  <si>
    <t>B3</t>
  </si>
  <si>
    <t>50ul</t>
  </si>
  <si>
    <t>A3</t>
  </si>
  <si>
    <t>H2</t>
  </si>
  <si>
    <t>阴性对照</t>
  </si>
  <si>
    <t>G2</t>
  </si>
  <si>
    <t>F2</t>
  </si>
  <si>
    <t>E2</t>
  </si>
  <si>
    <t>10*50=500</t>
  </si>
  <si>
    <t>ITS Spike</t>
  </si>
  <si>
    <t>D2</t>
  </si>
  <si>
    <t>16S Spike</t>
  </si>
  <si>
    <t>C2</t>
  </si>
  <si>
    <t>B2</t>
  </si>
  <si>
    <t>A2</t>
  </si>
  <si>
    <t>H1</t>
  </si>
  <si>
    <t>模板</t>
  </si>
  <si>
    <t>G1</t>
  </si>
  <si>
    <t>F1</t>
  </si>
  <si>
    <t>E1</t>
  </si>
  <si>
    <t>D1</t>
  </si>
  <si>
    <t>C1</t>
  </si>
  <si>
    <t>B1</t>
  </si>
  <si>
    <t>A1</t>
  </si>
  <si>
    <t>95管MIX</t>
  </si>
  <si>
    <t>引物类型</t>
  </si>
  <si>
    <t>引物ITS</t>
  </si>
  <si>
    <t>引物16S</t>
  </si>
  <si>
    <t>模板量</t>
  </si>
  <si>
    <t>样本名称</t>
  </si>
  <si>
    <t>编号</t>
  </si>
  <si>
    <t>序号</t>
  </si>
  <si>
    <t>沙漠土PCR  嘉慧</t>
    <phoneticPr fontId="9" type="noConversion"/>
  </si>
  <si>
    <t>16S-spike-negative</t>
    <phoneticPr fontId="9" type="noConversion"/>
  </si>
  <si>
    <t>16S-negative</t>
    <phoneticPr fontId="9" type="noConversion"/>
  </si>
  <si>
    <r>
      <t>I</t>
    </r>
    <r>
      <rPr>
        <sz val="12"/>
        <color theme="1"/>
        <rFont val="宋体"/>
        <family val="3"/>
        <charset val="134"/>
        <scheme val="minor"/>
      </rPr>
      <t>TS</t>
    </r>
    <r>
      <rPr>
        <sz val="12"/>
        <color theme="1"/>
        <rFont val="宋体"/>
        <family val="3"/>
        <charset val="134"/>
        <scheme val="minor"/>
      </rPr>
      <t>-spike-negative</t>
    </r>
    <phoneticPr fontId="9" type="noConversion"/>
  </si>
  <si>
    <t>ITS-negative</t>
    <phoneticPr fontId="9" type="noConversion"/>
  </si>
  <si>
    <t>A0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</si>
  <si>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</si>
  <si>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</si>
  <si>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</si>
  <si>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</si>
  <si>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</si>
  <si>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</si>
  <si>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</si>
  <si>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</si>
  <si>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</si>
  <si>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B0皮</t>
  </si>
  <si>
    <t>G0</t>
  </si>
  <si>
    <t>GR01</t>
  </si>
  <si>
    <t>LW1</t>
  </si>
  <si>
    <t>T1</t>
  </si>
  <si>
    <t>BS2</t>
  </si>
  <si>
    <t>C32</t>
  </si>
  <si>
    <t>实验样本清单</t>
    <phoneticPr fontId="4" type="noConversion"/>
  </si>
  <si>
    <t>16S-spike-negative</t>
  </si>
  <si>
    <t>16S-negative</t>
  </si>
  <si>
    <t>ITS-spike-negative</t>
  </si>
  <si>
    <t>ITS-negative</t>
  </si>
  <si>
    <t>孔位</t>
  </si>
  <si>
    <t>#</t>
    <phoneticPr fontId="4" type="noConversion"/>
  </si>
  <si>
    <t>样本名称</t>
    <phoneticPr fontId="4" type="noConversion"/>
  </si>
  <si>
    <t>物种</t>
    <phoneticPr fontId="4" type="noConversion"/>
  </si>
  <si>
    <t>16S</t>
    <phoneticPr fontId="4" type="noConversion"/>
  </si>
  <si>
    <t>ITS</t>
    <phoneticPr fontId="4" type="noConversion"/>
  </si>
  <si>
    <r>
      <rPr>
        <b/>
        <sz val="9.5"/>
        <rFont val="宋体"/>
        <family val="3"/>
        <charset val="134"/>
      </rPr>
      <t xml:space="preserve">原液浓度
</t>
    </r>
    <r>
      <rPr>
        <b/>
        <sz val="9.5"/>
        <rFont val="Arial"/>
        <family val="2"/>
      </rPr>
      <t>(ng/µL)</t>
    </r>
  </si>
  <si>
    <r>
      <rPr>
        <b/>
        <sz val="9.5"/>
        <rFont val="宋体"/>
        <family val="3"/>
        <charset val="134"/>
      </rPr>
      <t xml:space="preserve">体积
</t>
    </r>
    <r>
      <rPr>
        <b/>
        <sz val="9.5"/>
        <rFont val="Arial"/>
        <family val="2"/>
      </rPr>
      <t>(µL)</t>
    </r>
  </si>
  <si>
    <r>
      <rPr>
        <b/>
        <sz val="9.5"/>
        <rFont val="宋体"/>
        <family val="3"/>
        <charset val="134"/>
      </rPr>
      <t xml:space="preserve">总量
</t>
    </r>
    <r>
      <rPr>
        <b/>
        <sz val="9.5"/>
        <rFont val="Arial"/>
        <family val="2"/>
      </rPr>
      <t>(µg)</t>
    </r>
  </si>
  <si>
    <r>
      <t>理论混样体积(</t>
    </r>
    <r>
      <rPr>
        <sz val="11"/>
        <color theme="1"/>
        <rFont val="宋体"/>
        <family val="3"/>
        <charset val="134"/>
        <scheme val="minor"/>
      </rPr>
      <t>uL)</t>
    </r>
    <phoneticPr fontId="4" type="noConversion"/>
  </si>
  <si>
    <r>
      <t>实际混样体积(</t>
    </r>
    <r>
      <rPr>
        <sz val="11"/>
        <color theme="1"/>
        <rFont val="宋体"/>
        <family val="3"/>
        <charset val="134"/>
        <scheme val="minor"/>
      </rPr>
      <t>uL)</t>
    </r>
    <phoneticPr fontId="4" type="noConversion"/>
  </si>
  <si>
    <t>混管</t>
    <phoneticPr fontId="4" type="noConversion"/>
  </si>
  <si>
    <r>
      <t>Desert-</t>
    </r>
    <r>
      <rPr>
        <sz val="11"/>
        <color theme="1"/>
        <rFont val="宋体"/>
        <family val="3"/>
        <charset val="134"/>
        <scheme val="minor"/>
      </rPr>
      <t>16S-1</t>
    </r>
    <phoneticPr fontId="4" type="noConversion"/>
  </si>
  <si>
    <r>
      <t>Desert-</t>
    </r>
    <r>
      <rPr>
        <sz val="11"/>
        <color theme="1"/>
        <rFont val="宋体"/>
        <family val="3"/>
        <charset val="134"/>
        <scheme val="minor"/>
      </rPr>
      <t>16S-2</t>
    </r>
    <r>
      <rPr>
        <sz val="11"/>
        <color theme="1"/>
        <rFont val="宋体"/>
        <family val="2"/>
        <scheme val="minor"/>
      </rPr>
      <t/>
    </r>
  </si>
  <si>
    <t>Desert-ITS-1</t>
  </si>
  <si>
    <t>Desert-ITS-1</t>
    <phoneticPr fontId="4" type="noConversion"/>
  </si>
  <si>
    <t>Desert-ITS-2</t>
  </si>
  <si>
    <t>Desert-16S-1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</si>
</sst>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_);[Red]\(0.00\)"/>
    <numFmt numFmtId="179" formatCode="0.0_);[Red]\(0.0\)"/>
  </numFmts>
  <fonts count="2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  <scheme val="minor"/>
    </font>
    <font>
      <sz val="16"/>
      <name val="Times New Roman"/>
      <family val="1"/>
    </font>
    <font>
      <b/>
      <sz val="9.5"/>
      <name val="宋体"/>
      <family val="3"/>
      <charset val="134"/>
    </font>
    <font>
      <b/>
      <sz val="9.5"/>
      <name val="Arial"/>
      <family val="2"/>
    </font>
    <font>
      <b/>
      <sz val="9.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1">
      <alignment vertical="center"/>
    </xf>
    <xf numFmtId="0" fontId="7" fillId="0" borderId="1" xfId="1" applyFont="1" applyBorder="1">
      <alignment vertical="center"/>
    </xf>
    <xf numFmtId="0" fontId="7" fillId="0" borderId="0" xfId="1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10" fillId="0" borderId="0" xfId="2" applyFont="1" applyAlignment="1">
      <alignment horizontal="center" vertical="center"/>
    </xf>
    <xf numFmtId="0" fontId="10" fillId="0" borderId="7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0" xfId="1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76" fontId="20" fillId="0" borderId="14" xfId="0" applyNumberFormat="1" applyFont="1" applyBorder="1" applyAlignment="1">
      <alignment horizontal="center" vertical="center" shrinkToFit="1"/>
    </xf>
    <xf numFmtId="1" fontId="20" fillId="0" borderId="15" xfId="0" applyNumberFormat="1" applyFont="1" applyBorder="1" applyAlignment="1">
      <alignment horizontal="center" vertical="center" shrinkToFit="1"/>
    </xf>
    <xf numFmtId="177" fontId="20" fillId="0" borderId="15" xfId="0" applyNumberFormat="1" applyFont="1" applyBorder="1" applyAlignment="1">
      <alignment horizontal="center" vertical="center" shrinkToFit="1"/>
    </xf>
    <xf numFmtId="2" fontId="20" fillId="0" borderId="15" xfId="0" applyNumberFormat="1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8" fontId="0" fillId="0" borderId="0" xfId="0" applyNumberFormat="1">
      <alignment vertical="center"/>
    </xf>
    <xf numFmtId="0" fontId="8" fillId="0" borderId="0" xfId="0" applyFont="1" applyAlignment="1">
      <alignment horizontal="center" vertical="center" wrapText="1"/>
    </xf>
    <xf numFmtId="17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4" borderId="0" xfId="1" applyFill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>
      <alignment vertical="center"/>
    </xf>
    <xf numFmtId="0" fontId="8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2B4F6251-6D87-4D18-8AD9-BA4700E2C8D2}"/>
    <cellStyle name="常规 2 2" xfId="2" xr:uid="{7D8E2B56-DD20-4CB6-BCBD-5B279795DC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opLeftCell="A13" workbookViewId="0">
      <selection activeCell="C35" sqref="C35"/>
    </sheetView>
  </sheetViews>
  <sheetFormatPr defaultColWidth="9" defaultRowHeight="14" x14ac:dyDescent="0.25"/>
  <cols>
    <col min="1" max="1" width="9" style="1"/>
    <col min="2" max="2" width="12" style="1" customWidth="1"/>
    <col min="3" max="3" width="10.90625" style="1" customWidth="1"/>
    <col min="4" max="4" width="24.08984375" style="1" customWidth="1"/>
    <col min="5" max="5" width="9.453125" style="1" customWidth="1"/>
    <col min="6" max="6" width="3.90625" style="1" customWidth="1"/>
    <col min="7" max="8" width="9" style="1"/>
    <col min="9" max="9" width="9.26953125" style="1" customWidth="1"/>
    <col min="10" max="10" width="39.08984375" style="1" customWidth="1"/>
    <col min="11" max="11" width="9.90625" style="1" customWidth="1"/>
  </cols>
  <sheetData>
    <row r="1" spans="1:11" ht="31" customHeight="1" x14ac:dyDescent="0.25">
      <c r="A1" s="55" t="s">
        <v>0</v>
      </c>
      <c r="B1" s="55"/>
      <c r="C1" s="55"/>
      <c r="D1" s="55"/>
      <c r="E1" s="55"/>
      <c r="G1" s="55" t="s">
        <v>1</v>
      </c>
      <c r="H1" s="55"/>
      <c r="I1" s="55"/>
      <c r="J1" s="55"/>
      <c r="K1" s="55"/>
    </row>
    <row r="2" spans="1:1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x14ac:dyDescent="0.25">
      <c r="A3" s="51" t="s">
        <v>7</v>
      </c>
      <c r="B3" s="3">
        <v>0.59722222222222199</v>
      </c>
      <c r="C3" s="2" t="s">
        <v>8</v>
      </c>
      <c r="D3" s="2" t="s">
        <v>9</v>
      </c>
      <c r="E3" s="4" t="s">
        <v>10</v>
      </c>
      <c r="G3" s="2" t="s">
        <v>7</v>
      </c>
      <c r="H3" s="3">
        <v>0.65277777777777801</v>
      </c>
      <c r="I3" s="2" t="s">
        <v>11</v>
      </c>
      <c r="J3" s="2" t="s">
        <v>12</v>
      </c>
      <c r="K3" s="4" t="s">
        <v>10</v>
      </c>
    </row>
    <row r="4" spans="1:11" x14ac:dyDescent="0.25">
      <c r="A4" s="54"/>
      <c r="B4" s="3">
        <v>0.61111111111111105</v>
      </c>
      <c r="C4" s="2" t="s">
        <v>13</v>
      </c>
      <c r="D4" s="2" t="s">
        <v>14</v>
      </c>
      <c r="E4" s="4" t="s">
        <v>10</v>
      </c>
      <c r="G4" s="56" t="s">
        <v>15</v>
      </c>
      <c r="H4" s="57"/>
      <c r="I4" s="57"/>
      <c r="J4" s="57"/>
      <c r="K4" s="58"/>
    </row>
    <row r="5" spans="1:11" x14ac:dyDescent="0.25">
      <c r="A5" s="54"/>
      <c r="B5" s="3">
        <v>0.65277777777777801</v>
      </c>
      <c r="C5" s="2" t="s">
        <v>16</v>
      </c>
      <c r="D5" s="2"/>
      <c r="E5" s="4" t="s">
        <v>10</v>
      </c>
      <c r="G5" s="59" t="s">
        <v>17</v>
      </c>
      <c r="H5" s="60"/>
      <c r="I5" s="60"/>
      <c r="J5" s="60"/>
      <c r="K5" s="61"/>
    </row>
    <row r="6" spans="1:11" x14ac:dyDescent="0.25">
      <c r="A6" s="54"/>
      <c r="B6" s="3">
        <v>0.69444444444444398</v>
      </c>
      <c r="C6" s="2" t="s">
        <v>18</v>
      </c>
      <c r="D6" s="2"/>
      <c r="E6" s="4" t="s">
        <v>10</v>
      </c>
      <c r="G6" s="2"/>
      <c r="H6" s="2"/>
      <c r="I6" s="2" t="s">
        <v>19</v>
      </c>
      <c r="J6" s="2" t="s">
        <v>20</v>
      </c>
      <c r="K6" s="2"/>
    </row>
    <row r="7" spans="1:11" x14ac:dyDescent="0.25">
      <c r="A7" s="54"/>
      <c r="B7" s="3">
        <v>0.73611111111111105</v>
      </c>
      <c r="C7" s="2" t="s">
        <v>21</v>
      </c>
      <c r="D7" s="2"/>
      <c r="E7" s="2"/>
      <c r="G7" s="2"/>
      <c r="H7" s="2"/>
      <c r="I7" s="2" t="s">
        <v>22</v>
      </c>
      <c r="J7" s="2" t="s">
        <v>23</v>
      </c>
      <c r="K7" s="2"/>
    </row>
    <row r="8" spans="1:11" x14ac:dyDescent="0.25">
      <c r="A8" s="54"/>
      <c r="B8" s="3">
        <v>0.77777777777777801</v>
      </c>
      <c r="C8" s="2" t="s">
        <v>24</v>
      </c>
      <c r="D8" s="2"/>
      <c r="E8" s="2"/>
      <c r="G8" s="2"/>
      <c r="H8" s="2"/>
      <c r="I8" s="2" t="s">
        <v>25</v>
      </c>
      <c r="J8" s="2" t="s">
        <v>26</v>
      </c>
      <c r="K8" s="2"/>
    </row>
    <row r="9" spans="1:11" x14ac:dyDescent="0.25">
      <c r="A9" s="54"/>
      <c r="B9" s="3">
        <v>0.81944444444444398</v>
      </c>
      <c r="C9" s="2" t="s">
        <v>27</v>
      </c>
      <c r="D9" s="2"/>
      <c r="E9" s="2"/>
      <c r="G9" s="2"/>
      <c r="H9" s="2"/>
      <c r="I9" s="2" t="s">
        <v>28</v>
      </c>
      <c r="J9" s="2" t="s">
        <v>29</v>
      </c>
      <c r="K9" s="2"/>
    </row>
    <row r="10" spans="1:11" x14ac:dyDescent="0.25">
      <c r="A10" s="54"/>
      <c r="B10" s="3">
        <v>0.86111111111111105</v>
      </c>
      <c r="C10" s="2" t="s">
        <v>30</v>
      </c>
      <c r="D10" s="2"/>
      <c r="E10" s="2"/>
      <c r="G10" s="2"/>
      <c r="H10" s="2"/>
      <c r="I10" s="2" t="s">
        <v>31</v>
      </c>
      <c r="J10" s="2" t="s">
        <v>32</v>
      </c>
      <c r="K10" s="2"/>
    </row>
    <row r="11" spans="1:11" x14ac:dyDescent="0.25">
      <c r="A11" s="54"/>
      <c r="B11" s="3">
        <v>0.90277777777777801</v>
      </c>
      <c r="C11" s="2" t="s">
        <v>33</v>
      </c>
      <c r="D11" s="2"/>
      <c r="E11" s="2"/>
      <c r="G11" s="2"/>
      <c r="H11" s="2"/>
      <c r="I11" s="2" t="s">
        <v>34</v>
      </c>
      <c r="J11" s="2" t="s">
        <v>35</v>
      </c>
      <c r="K11" s="2"/>
    </row>
    <row r="12" spans="1:11" x14ac:dyDescent="0.25">
      <c r="A12" s="54"/>
      <c r="B12" s="3">
        <v>0.94444444444444398</v>
      </c>
      <c r="C12" s="2" t="s">
        <v>36</v>
      </c>
      <c r="D12" s="2"/>
      <c r="E12" s="2"/>
      <c r="G12" s="2"/>
      <c r="H12" s="2"/>
      <c r="I12" s="2" t="s">
        <v>37</v>
      </c>
      <c r="J12" s="2" t="s">
        <v>38</v>
      </c>
      <c r="K12" s="2"/>
    </row>
    <row r="13" spans="1:11" x14ac:dyDescent="0.25">
      <c r="A13" s="52"/>
      <c r="B13" s="3">
        <v>0.98611111111111105</v>
      </c>
      <c r="C13" s="2" t="s">
        <v>39</v>
      </c>
      <c r="D13" s="2"/>
      <c r="E13" s="2"/>
      <c r="G13" s="2"/>
      <c r="H13" s="2"/>
      <c r="I13" s="2" t="s">
        <v>40</v>
      </c>
      <c r="J13" s="2" t="s">
        <v>41</v>
      </c>
      <c r="K13" s="2"/>
    </row>
    <row r="14" spans="1:11" x14ac:dyDescent="0.25">
      <c r="A14" s="51" t="s">
        <v>42</v>
      </c>
      <c r="B14" s="3">
        <v>2.7777777777777801E-2</v>
      </c>
      <c r="C14" s="2" t="s">
        <v>43</v>
      </c>
      <c r="D14" s="2"/>
      <c r="E14" s="2"/>
      <c r="G14" s="2"/>
      <c r="H14" s="2"/>
      <c r="I14" s="2" t="s">
        <v>44</v>
      </c>
      <c r="J14" s="2" t="s">
        <v>45</v>
      </c>
      <c r="K14" s="2"/>
    </row>
    <row r="15" spans="1:11" x14ac:dyDescent="0.25">
      <c r="A15" s="54"/>
      <c r="B15" s="3">
        <v>0.11111111111111099</v>
      </c>
      <c r="C15" s="2" t="s">
        <v>46</v>
      </c>
      <c r="D15" s="2"/>
      <c r="E15" s="2"/>
      <c r="G15" s="2"/>
      <c r="H15" s="2"/>
      <c r="I15" s="2" t="s">
        <v>47</v>
      </c>
      <c r="J15" s="2" t="s">
        <v>45</v>
      </c>
      <c r="K15" s="2"/>
    </row>
    <row r="16" spans="1:11" x14ac:dyDescent="0.25">
      <c r="A16" s="54"/>
      <c r="B16" s="3">
        <v>0.194444444444444</v>
      </c>
      <c r="C16" s="2" t="s">
        <v>48</v>
      </c>
      <c r="D16" s="2"/>
      <c r="E16" s="2"/>
      <c r="G16" s="2"/>
      <c r="H16" s="2"/>
      <c r="I16" s="2" t="s">
        <v>49</v>
      </c>
      <c r="J16" s="2" t="s">
        <v>50</v>
      </c>
      <c r="K16" s="2"/>
    </row>
    <row r="17" spans="1:11" x14ac:dyDescent="0.25">
      <c r="A17" s="54"/>
      <c r="B17" s="3">
        <v>0.27777777777777801</v>
      </c>
      <c r="C17" s="2" t="s">
        <v>51</v>
      </c>
      <c r="D17" s="2"/>
      <c r="E17" s="2"/>
      <c r="G17" s="2"/>
      <c r="H17" s="2"/>
      <c r="I17" s="2" t="s">
        <v>52</v>
      </c>
      <c r="J17" s="2" t="s">
        <v>50</v>
      </c>
      <c r="K17" s="2"/>
    </row>
    <row r="18" spans="1:11" x14ac:dyDescent="0.25">
      <c r="A18" s="54"/>
      <c r="B18" s="3">
        <v>0.36111111111111099</v>
      </c>
      <c r="C18" s="2" t="s">
        <v>53</v>
      </c>
      <c r="D18" s="2"/>
      <c r="E18" s="2"/>
      <c r="G18" s="2"/>
      <c r="H18" s="2"/>
      <c r="I18" s="2" t="s">
        <v>54</v>
      </c>
      <c r="J18" s="2" t="s">
        <v>55</v>
      </c>
      <c r="K18" s="2"/>
    </row>
    <row r="19" spans="1:11" x14ac:dyDescent="0.25">
      <c r="A19" s="54"/>
      <c r="B19" s="3">
        <v>0.44444444444444398</v>
      </c>
      <c r="C19" s="2" t="s">
        <v>56</v>
      </c>
      <c r="D19" s="2"/>
      <c r="E19" s="2"/>
      <c r="G19" s="2"/>
      <c r="H19" s="2"/>
      <c r="I19" s="2" t="s">
        <v>57</v>
      </c>
      <c r="J19" s="2" t="s">
        <v>55</v>
      </c>
      <c r="K19" s="2"/>
    </row>
    <row r="20" spans="1:11" x14ac:dyDescent="0.25">
      <c r="A20" s="54"/>
      <c r="B20" s="3">
        <v>0.52777777777777801</v>
      </c>
      <c r="C20" s="2" t="s">
        <v>58</v>
      </c>
      <c r="D20" s="2"/>
      <c r="E20" s="2"/>
      <c r="G20" s="2"/>
      <c r="H20" s="2"/>
      <c r="I20" s="2" t="s">
        <v>59</v>
      </c>
      <c r="J20" s="2"/>
      <c r="K20" s="2"/>
    </row>
    <row r="21" spans="1:11" x14ac:dyDescent="0.25">
      <c r="A21" s="54"/>
      <c r="B21" s="3">
        <v>0.61111111111111105</v>
      </c>
      <c r="C21" s="2" t="s">
        <v>60</v>
      </c>
      <c r="D21" s="2"/>
      <c r="E21" s="2"/>
      <c r="G21" s="2"/>
      <c r="H21" s="2"/>
      <c r="I21" s="2" t="s">
        <v>61</v>
      </c>
      <c r="J21" s="2"/>
      <c r="K21" s="2"/>
    </row>
    <row r="22" spans="1:11" x14ac:dyDescent="0.25">
      <c r="A22" s="54"/>
      <c r="B22" s="3">
        <v>0.69444444444444398</v>
      </c>
      <c r="C22" s="2" t="s">
        <v>62</v>
      </c>
      <c r="D22" s="2"/>
      <c r="E22" s="2"/>
      <c r="G22" s="2"/>
      <c r="H22" s="2"/>
      <c r="I22" s="2" t="s">
        <v>63</v>
      </c>
      <c r="J22" s="2"/>
      <c r="K22" s="2"/>
    </row>
    <row r="23" spans="1:11" x14ac:dyDescent="0.25">
      <c r="A23" s="52"/>
      <c r="B23" s="3">
        <v>0.77777777777777801</v>
      </c>
      <c r="C23" s="2" t="s">
        <v>64</v>
      </c>
      <c r="D23" s="2" t="s">
        <v>65</v>
      </c>
      <c r="E23" s="2"/>
      <c r="G23" s="2"/>
      <c r="H23" s="2"/>
      <c r="I23" s="2" t="s">
        <v>66</v>
      </c>
      <c r="J23" s="2"/>
      <c r="K23" s="2"/>
    </row>
    <row r="24" spans="1:11" x14ac:dyDescent="0.25">
      <c r="A24" s="51" t="s">
        <v>67</v>
      </c>
      <c r="B24" s="3">
        <v>0.33333333333333298</v>
      </c>
      <c r="C24" s="2" t="s">
        <v>68</v>
      </c>
      <c r="D24" s="2"/>
      <c r="E24" s="2"/>
      <c r="G24" s="2"/>
      <c r="H24" s="2"/>
      <c r="I24" s="2" t="s">
        <v>69</v>
      </c>
      <c r="J24" s="2"/>
      <c r="K24" s="2"/>
    </row>
    <row r="25" spans="1:11" x14ac:dyDescent="0.25">
      <c r="A25" s="52"/>
      <c r="B25" s="2"/>
      <c r="C25" s="2" t="s">
        <v>70</v>
      </c>
      <c r="D25" s="2" t="s">
        <v>71</v>
      </c>
      <c r="E25" s="2"/>
      <c r="G25" s="2"/>
      <c r="H25" s="2"/>
      <c r="I25" s="2" t="s">
        <v>72</v>
      </c>
      <c r="J25" s="2"/>
      <c r="K25" s="2"/>
    </row>
    <row r="26" spans="1:11" x14ac:dyDescent="0.25">
      <c r="A26" s="51" t="s">
        <v>73</v>
      </c>
      <c r="B26" s="3">
        <v>0.33333333333333298</v>
      </c>
      <c r="C26" s="2" t="s">
        <v>74</v>
      </c>
      <c r="D26" s="2"/>
      <c r="E26" s="2"/>
      <c r="G26" s="2"/>
      <c r="H26" s="2"/>
      <c r="I26" s="2"/>
      <c r="J26" s="2"/>
      <c r="K26" s="2"/>
    </row>
    <row r="27" spans="1:11" x14ac:dyDescent="0.25">
      <c r="A27" s="52"/>
      <c r="B27" s="2"/>
      <c r="C27" s="2" t="s">
        <v>75</v>
      </c>
      <c r="D27" s="2" t="s">
        <v>71</v>
      </c>
      <c r="E27" s="2"/>
      <c r="G27" s="2"/>
      <c r="H27" s="2"/>
      <c r="I27" s="2"/>
      <c r="J27" s="2"/>
      <c r="K27" s="2"/>
    </row>
    <row r="28" spans="1:11" x14ac:dyDescent="0.25">
      <c r="A28" s="51" t="s">
        <v>76</v>
      </c>
      <c r="B28" s="3">
        <v>0.33333333333333298</v>
      </c>
      <c r="C28" s="2" t="s">
        <v>77</v>
      </c>
      <c r="D28" s="2"/>
      <c r="E28" s="2"/>
      <c r="G28" s="2"/>
      <c r="H28" s="2"/>
      <c r="I28" s="2"/>
      <c r="J28" s="2"/>
      <c r="K28" s="2"/>
    </row>
    <row r="29" spans="1:11" x14ac:dyDescent="0.25">
      <c r="A29" s="52"/>
      <c r="B29" s="2"/>
      <c r="C29" s="2" t="s">
        <v>78</v>
      </c>
      <c r="D29" s="2" t="s">
        <v>71</v>
      </c>
      <c r="E29" s="2"/>
      <c r="G29" s="2"/>
      <c r="H29" s="2"/>
      <c r="I29" s="2"/>
      <c r="J29" s="2"/>
      <c r="K29" s="2"/>
    </row>
    <row r="30" spans="1:11" x14ac:dyDescent="0.25">
      <c r="A30" s="51" t="s">
        <v>79</v>
      </c>
      <c r="B30" s="3">
        <v>0.33333333333333298</v>
      </c>
      <c r="C30" s="2" t="s">
        <v>80</v>
      </c>
      <c r="D30" s="2"/>
      <c r="E30" s="2"/>
      <c r="G30" s="2"/>
      <c r="H30" s="2"/>
      <c r="I30" s="2"/>
      <c r="J30" s="2"/>
      <c r="K30" s="2"/>
    </row>
    <row r="31" spans="1:11" x14ac:dyDescent="0.25">
      <c r="A31" s="52"/>
      <c r="B31" s="2"/>
      <c r="C31" s="2" t="s">
        <v>81</v>
      </c>
      <c r="D31" s="2" t="s">
        <v>71</v>
      </c>
      <c r="E31" s="2"/>
      <c r="G31" s="2"/>
      <c r="H31" s="2"/>
      <c r="I31" s="2"/>
      <c r="J31" s="2"/>
      <c r="K31" s="2"/>
    </row>
    <row r="32" spans="1:11" x14ac:dyDescent="0.25">
      <c r="A32" s="51" t="s">
        <v>82</v>
      </c>
      <c r="B32" s="3">
        <v>0.33333333333333298</v>
      </c>
      <c r="C32" s="2" t="s">
        <v>83</v>
      </c>
      <c r="D32" s="2"/>
      <c r="E32" s="2"/>
      <c r="G32" s="2"/>
      <c r="H32" s="2"/>
      <c r="I32" s="2"/>
      <c r="J32" s="2"/>
      <c r="K32" s="2"/>
    </row>
    <row r="33" spans="1:11" x14ac:dyDescent="0.25">
      <c r="A33" s="52"/>
      <c r="B33" s="2"/>
      <c r="C33" s="2" t="s">
        <v>84</v>
      </c>
      <c r="D33" s="2" t="s">
        <v>71</v>
      </c>
      <c r="E33" s="2"/>
      <c r="G33" s="2"/>
      <c r="H33" s="2"/>
      <c r="I33" s="2"/>
      <c r="J33" s="2"/>
      <c r="K33" s="2"/>
    </row>
    <row r="34" spans="1:11" x14ac:dyDescent="0.25">
      <c r="A34" s="2" t="s">
        <v>85</v>
      </c>
      <c r="B34" s="2"/>
      <c r="C34" s="2" t="s">
        <v>86</v>
      </c>
      <c r="D34" s="2" t="s">
        <v>71</v>
      </c>
      <c r="E34" s="2"/>
      <c r="G34" s="2"/>
      <c r="H34" s="2"/>
      <c r="I34" s="2"/>
      <c r="J34" s="2"/>
      <c r="K34" s="2"/>
    </row>
    <row r="35" spans="1:11" x14ac:dyDescent="0.25">
      <c r="A35" s="2" t="s">
        <v>87</v>
      </c>
      <c r="B35" s="2"/>
      <c r="C35" s="2" t="s">
        <v>88</v>
      </c>
      <c r="D35" s="2" t="s">
        <v>71</v>
      </c>
      <c r="E35" s="2"/>
      <c r="G35" s="2"/>
      <c r="H35" s="2"/>
      <c r="I35" s="2"/>
      <c r="J35" s="2"/>
      <c r="K35" s="2"/>
    </row>
    <row r="36" spans="1:11" x14ac:dyDescent="0.25">
      <c r="A36" s="2" t="s">
        <v>89</v>
      </c>
      <c r="B36" s="2"/>
      <c r="C36" s="2" t="s">
        <v>90</v>
      </c>
      <c r="D36" s="2" t="s">
        <v>71</v>
      </c>
      <c r="E36" s="2"/>
      <c r="G36" s="2"/>
      <c r="H36" s="2"/>
      <c r="I36" s="2"/>
      <c r="J36" s="2"/>
      <c r="K36" s="2"/>
    </row>
    <row r="37" spans="1:11" x14ac:dyDescent="0.25">
      <c r="A37" s="2" t="s">
        <v>91</v>
      </c>
      <c r="B37" s="2"/>
      <c r="C37" s="2" t="s">
        <v>92</v>
      </c>
      <c r="D37" s="2" t="s">
        <v>71</v>
      </c>
      <c r="E37" s="2"/>
      <c r="G37" s="2"/>
      <c r="H37" s="2"/>
      <c r="I37" s="2"/>
      <c r="J37" s="2"/>
      <c r="K37" s="2"/>
    </row>
    <row r="38" spans="1:11" x14ac:dyDescent="0.25">
      <c r="A38" s="2" t="s">
        <v>93</v>
      </c>
      <c r="B38" s="2"/>
      <c r="C38" s="2" t="s">
        <v>94</v>
      </c>
      <c r="D38" s="2" t="s">
        <v>71</v>
      </c>
      <c r="E38" s="2"/>
      <c r="G38" s="2"/>
      <c r="H38" s="2"/>
      <c r="I38" s="2"/>
      <c r="J38" s="2"/>
      <c r="K38" s="2"/>
    </row>
    <row r="39" spans="1:11" x14ac:dyDescent="0.25">
      <c r="A39" s="5" t="s">
        <v>95</v>
      </c>
      <c r="B39" s="5"/>
      <c r="C39" s="2" t="s">
        <v>96</v>
      </c>
      <c r="D39" s="2" t="s">
        <v>71</v>
      </c>
      <c r="E39" s="5"/>
      <c r="G39" s="53" t="s">
        <v>97</v>
      </c>
      <c r="H39" s="53"/>
      <c r="I39" s="53"/>
      <c r="J39" s="53"/>
      <c r="K39" s="53"/>
    </row>
    <row r="40" spans="1:11" x14ac:dyDescent="0.25">
      <c r="A40" s="2" t="s">
        <v>98</v>
      </c>
      <c r="B40" s="2"/>
      <c r="C40" s="2" t="s">
        <v>99</v>
      </c>
      <c r="D40" s="2" t="s">
        <v>71</v>
      </c>
      <c r="E40" s="2"/>
      <c r="G40" s="53"/>
      <c r="H40" s="53"/>
      <c r="I40" s="53"/>
      <c r="J40" s="53"/>
      <c r="K40" s="53"/>
    </row>
  </sheetData>
  <mergeCells count="12">
    <mergeCell ref="A1:E1"/>
    <mergeCell ref="G1:K1"/>
    <mergeCell ref="G4:K4"/>
    <mergeCell ref="G5:K5"/>
    <mergeCell ref="A3:A13"/>
    <mergeCell ref="A32:A33"/>
    <mergeCell ref="G39:K40"/>
    <mergeCell ref="A14:A23"/>
    <mergeCell ref="A24:A25"/>
    <mergeCell ref="A26:A27"/>
    <mergeCell ref="A28:A29"/>
    <mergeCell ref="A30:A31"/>
  </mergeCells>
  <phoneticPr fontId="4" type="noConversion"/>
  <pageMargins left="0.25" right="0.118055555555556" top="7.8472222222222193E-2" bottom="0.156944444444444" header="0.29861111111111099" footer="0.29861111111111099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6065-BD6D-4662-882E-C809D9957C5E}">
  <dimension ref="A1:G49"/>
  <sheetViews>
    <sheetView topLeftCell="A31" workbookViewId="0">
      <selection activeCell="K11" sqref="K11"/>
    </sheetView>
  </sheetViews>
  <sheetFormatPr defaultColWidth="9" defaultRowHeight="14" x14ac:dyDescent="0.25"/>
  <cols>
    <col min="1" max="2" width="9" style="6"/>
    <col min="3" max="3" width="21.90625" style="6" customWidth="1"/>
    <col min="4" max="16384" width="9" style="6"/>
  </cols>
  <sheetData>
    <row r="1" spans="1:7" x14ac:dyDescent="0.25">
      <c r="A1" s="6" t="s">
        <v>122</v>
      </c>
      <c r="B1" s="6" t="s">
        <v>121</v>
      </c>
      <c r="C1" s="6" t="s">
        <v>120</v>
      </c>
      <c r="E1" s="28" t="s">
        <v>333</v>
      </c>
    </row>
    <row r="2" spans="1:7" ht="15" x14ac:dyDescent="0.25">
      <c r="A2" s="6">
        <v>1</v>
      </c>
      <c r="B2" s="6" t="s">
        <v>8</v>
      </c>
      <c r="C2" s="6" t="s">
        <v>119</v>
      </c>
      <c r="E2" s="7" t="s">
        <v>122</v>
      </c>
      <c r="F2" s="7" t="s">
        <v>121</v>
      </c>
      <c r="G2" s="7" t="s">
        <v>120</v>
      </c>
    </row>
    <row r="3" spans="1:7" ht="15" x14ac:dyDescent="0.25">
      <c r="A3" s="6">
        <v>2</v>
      </c>
      <c r="B3" s="6" t="s">
        <v>13</v>
      </c>
      <c r="C3" s="6" t="s">
        <v>14</v>
      </c>
      <c r="E3" s="7">
        <v>1</v>
      </c>
      <c r="F3" s="7" t="s">
        <v>127</v>
      </c>
      <c r="G3" s="64" t="s">
        <v>119</v>
      </c>
    </row>
    <row r="4" spans="1:7" ht="15" x14ac:dyDescent="0.25">
      <c r="A4" s="6">
        <v>3</v>
      </c>
      <c r="B4" s="6" t="s">
        <v>16</v>
      </c>
      <c r="E4" s="7">
        <v>2</v>
      </c>
      <c r="F4" s="7" t="s">
        <v>128</v>
      </c>
      <c r="G4" s="64"/>
    </row>
    <row r="5" spans="1:7" ht="15" x14ac:dyDescent="0.25">
      <c r="A5" s="6">
        <v>4</v>
      </c>
      <c r="B5" s="6" t="s">
        <v>18</v>
      </c>
      <c r="E5" s="7">
        <v>3</v>
      </c>
      <c r="F5" s="7" t="s">
        <v>129</v>
      </c>
      <c r="G5" s="64"/>
    </row>
    <row r="6" spans="1:7" ht="15" x14ac:dyDescent="0.25">
      <c r="A6" s="6">
        <v>5</v>
      </c>
      <c r="B6" s="6" t="s">
        <v>21</v>
      </c>
      <c r="E6" s="7">
        <v>4</v>
      </c>
      <c r="F6" s="7" t="s">
        <v>130</v>
      </c>
      <c r="G6" s="64"/>
    </row>
    <row r="7" spans="1:7" ht="15" x14ac:dyDescent="0.25">
      <c r="A7" s="6">
        <v>6</v>
      </c>
      <c r="B7" s="6" t="s">
        <v>24</v>
      </c>
      <c r="E7" s="7">
        <v>5</v>
      </c>
      <c r="F7" s="7" t="s">
        <v>131</v>
      </c>
      <c r="G7" s="63" t="s">
        <v>14</v>
      </c>
    </row>
    <row r="8" spans="1:7" ht="15" x14ac:dyDescent="0.25">
      <c r="A8" s="6">
        <v>7</v>
      </c>
      <c r="B8" s="6" t="s">
        <v>27</v>
      </c>
      <c r="E8" s="7">
        <v>6</v>
      </c>
      <c r="F8" s="7" t="s">
        <v>132</v>
      </c>
      <c r="G8" s="63"/>
    </row>
    <row r="9" spans="1:7" ht="15" x14ac:dyDescent="0.25">
      <c r="A9" s="6">
        <v>8</v>
      </c>
      <c r="B9" s="6" t="s">
        <v>30</v>
      </c>
      <c r="E9" s="7">
        <v>7</v>
      </c>
      <c r="F9" s="7" t="s">
        <v>133</v>
      </c>
      <c r="G9" s="63"/>
    </row>
    <row r="10" spans="1:7" ht="15" x14ac:dyDescent="0.25">
      <c r="A10" s="6">
        <v>9</v>
      </c>
      <c r="B10" s="6" t="s">
        <v>33</v>
      </c>
      <c r="E10" s="7">
        <v>8</v>
      </c>
      <c r="F10" s="7" t="s">
        <v>134</v>
      </c>
      <c r="G10" s="63"/>
    </row>
    <row r="11" spans="1:7" ht="15" x14ac:dyDescent="0.25">
      <c r="A11" s="6">
        <v>10</v>
      </c>
      <c r="B11" s="6" t="s">
        <v>36</v>
      </c>
      <c r="E11" s="7">
        <v>9</v>
      </c>
      <c r="F11" s="7" t="s">
        <v>135</v>
      </c>
      <c r="G11" s="63" t="s">
        <v>145</v>
      </c>
    </row>
    <row r="12" spans="1:7" ht="15" x14ac:dyDescent="0.25">
      <c r="A12" s="6">
        <v>11</v>
      </c>
      <c r="B12" s="6" t="s">
        <v>39</v>
      </c>
      <c r="E12" s="7">
        <v>10</v>
      </c>
      <c r="F12" s="7" t="s">
        <v>136</v>
      </c>
      <c r="G12" s="63"/>
    </row>
    <row r="13" spans="1:7" ht="15" x14ac:dyDescent="0.25">
      <c r="A13" s="6">
        <v>12</v>
      </c>
      <c r="B13" s="6" t="s">
        <v>43</v>
      </c>
      <c r="E13" s="7">
        <v>11</v>
      </c>
      <c r="F13" s="7" t="s">
        <v>137</v>
      </c>
      <c r="G13" s="63" t="s">
        <v>146</v>
      </c>
    </row>
    <row r="14" spans="1:7" ht="15" x14ac:dyDescent="0.25">
      <c r="A14" s="6">
        <v>13</v>
      </c>
      <c r="B14" s="6" t="s">
        <v>46</v>
      </c>
      <c r="E14" s="7">
        <v>12</v>
      </c>
      <c r="F14" s="7" t="s">
        <v>138</v>
      </c>
      <c r="G14" s="63"/>
    </row>
    <row r="15" spans="1:7" ht="15" x14ac:dyDescent="0.25">
      <c r="A15" s="6">
        <v>14</v>
      </c>
      <c r="B15" s="6" t="s">
        <v>48</v>
      </c>
      <c r="E15" s="7">
        <v>13</v>
      </c>
      <c r="F15" s="7" t="s">
        <v>139</v>
      </c>
      <c r="G15" s="63" t="s">
        <v>147</v>
      </c>
    </row>
    <row r="16" spans="1:7" ht="15" x14ac:dyDescent="0.25">
      <c r="A16" s="6">
        <v>15</v>
      </c>
      <c r="B16" s="6" t="s">
        <v>51</v>
      </c>
      <c r="E16" s="7">
        <v>14</v>
      </c>
      <c r="F16" s="7" t="s">
        <v>140</v>
      </c>
      <c r="G16" s="63"/>
    </row>
    <row r="17" spans="1:7" ht="15" x14ac:dyDescent="0.25">
      <c r="A17" s="6">
        <v>16</v>
      </c>
      <c r="B17" s="6" t="s">
        <v>53</v>
      </c>
      <c r="E17" s="7">
        <v>15</v>
      </c>
      <c r="F17" s="7" t="s">
        <v>141</v>
      </c>
      <c r="G17" s="63" t="s">
        <v>148</v>
      </c>
    </row>
    <row r="18" spans="1:7" ht="15" x14ac:dyDescent="0.25">
      <c r="A18" s="6">
        <v>17</v>
      </c>
      <c r="B18" s="6" t="s">
        <v>56</v>
      </c>
      <c r="E18" s="7">
        <v>16</v>
      </c>
      <c r="F18" s="7" t="s">
        <v>142</v>
      </c>
      <c r="G18" s="63"/>
    </row>
    <row r="19" spans="1:7" ht="15" x14ac:dyDescent="0.25">
      <c r="A19" s="6">
        <v>18</v>
      </c>
      <c r="B19" s="6" t="s">
        <v>58</v>
      </c>
      <c r="E19" s="7">
        <v>17</v>
      </c>
      <c r="F19" s="7" t="s">
        <v>143</v>
      </c>
      <c r="G19" s="63" t="s">
        <v>149</v>
      </c>
    </row>
    <row r="20" spans="1:7" ht="15" x14ac:dyDescent="0.25">
      <c r="A20" s="6">
        <v>19</v>
      </c>
      <c r="B20" s="6" t="s">
        <v>60</v>
      </c>
      <c r="E20" s="7">
        <v>18</v>
      </c>
      <c r="F20" s="7" t="s">
        <v>144</v>
      </c>
      <c r="G20" s="63"/>
    </row>
    <row r="21" spans="1:7" ht="15" x14ac:dyDescent="0.25">
      <c r="A21" s="6">
        <v>20</v>
      </c>
      <c r="B21" s="6" t="s">
        <v>62</v>
      </c>
      <c r="E21" s="7">
        <v>19</v>
      </c>
      <c r="F21" s="7" t="s">
        <v>30</v>
      </c>
      <c r="G21" s="8"/>
    </row>
    <row r="22" spans="1:7" ht="15" x14ac:dyDescent="0.25">
      <c r="A22" s="6">
        <v>21</v>
      </c>
      <c r="B22" s="6" t="s">
        <v>64</v>
      </c>
      <c r="E22" s="7">
        <v>20</v>
      </c>
      <c r="F22" s="7" t="s">
        <v>33</v>
      </c>
      <c r="G22" s="8"/>
    </row>
    <row r="23" spans="1:7" ht="15" x14ac:dyDescent="0.25">
      <c r="A23" s="6">
        <v>22</v>
      </c>
      <c r="B23" s="6" t="s">
        <v>68</v>
      </c>
      <c r="E23" s="7">
        <v>21</v>
      </c>
      <c r="F23" s="7" t="s">
        <v>36</v>
      </c>
      <c r="G23" s="8"/>
    </row>
    <row r="24" spans="1:7" ht="15" x14ac:dyDescent="0.25">
      <c r="A24" s="6">
        <v>23</v>
      </c>
      <c r="B24" s="6" t="s">
        <v>117</v>
      </c>
      <c r="C24" s="6" t="s">
        <v>151</v>
      </c>
      <c r="E24" s="7">
        <v>22</v>
      </c>
      <c r="F24" s="7" t="s">
        <v>39</v>
      </c>
      <c r="G24" s="8"/>
    </row>
    <row r="25" spans="1:7" ht="15" x14ac:dyDescent="0.25">
      <c r="A25" s="6">
        <v>24</v>
      </c>
      <c r="B25" s="6" t="s">
        <v>118</v>
      </c>
      <c r="C25" s="6" t="s">
        <v>115</v>
      </c>
      <c r="E25" s="7">
        <v>23</v>
      </c>
      <c r="F25" s="7" t="s">
        <v>43</v>
      </c>
      <c r="G25" s="8"/>
    </row>
    <row r="26" spans="1:7" ht="15" x14ac:dyDescent="0.25">
      <c r="A26" s="6">
        <v>25</v>
      </c>
      <c r="B26" s="6" t="s">
        <v>116</v>
      </c>
      <c r="C26" s="6" t="s">
        <v>153</v>
      </c>
      <c r="E26" s="7">
        <v>24</v>
      </c>
      <c r="F26" s="7" t="s">
        <v>46</v>
      </c>
      <c r="G26" s="9"/>
    </row>
    <row r="27" spans="1:7" ht="15" x14ac:dyDescent="0.25">
      <c r="A27" s="6">
        <v>26</v>
      </c>
      <c r="B27" s="6" t="s">
        <v>114</v>
      </c>
      <c r="C27" s="6" t="s">
        <v>113</v>
      </c>
      <c r="E27" s="7">
        <v>25</v>
      </c>
      <c r="F27" s="7" t="s">
        <v>48</v>
      </c>
      <c r="G27" s="9"/>
    </row>
    <row r="28" spans="1:7" ht="15" x14ac:dyDescent="0.25">
      <c r="A28" s="6">
        <v>27</v>
      </c>
      <c r="B28" s="6" t="s">
        <v>112</v>
      </c>
      <c r="C28" s="6" t="s">
        <v>111</v>
      </c>
      <c r="E28" s="7">
        <v>26</v>
      </c>
      <c r="F28" s="7" t="s">
        <v>51</v>
      </c>
      <c r="G28" s="9"/>
    </row>
    <row r="29" spans="1:7" ht="15" x14ac:dyDescent="0.25">
      <c r="A29" s="6">
        <v>28</v>
      </c>
      <c r="B29" s="6" t="s">
        <v>110</v>
      </c>
      <c r="C29" s="6" t="s">
        <v>109</v>
      </c>
      <c r="E29" s="7">
        <v>27</v>
      </c>
      <c r="F29" s="7" t="s">
        <v>53</v>
      </c>
      <c r="G29" s="9"/>
    </row>
    <row r="30" spans="1:7" ht="15" x14ac:dyDescent="0.25">
      <c r="A30" s="6">
        <v>29</v>
      </c>
      <c r="B30" s="6" t="s">
        <v>108</v>
      </c>
      <c r="C30" s="6" t="s">
        <v>107</v>
      </c>
      <c r="E30" s="7">
        <v>28</v>
      </c>
      <c r="F30" s="7" t="s">
        <v>56</v>
      </c>
      <c r="G30" s="9"/>
    </row>
    <row r="31" spans="1:7" ht="15" x14ac:dyDescent="0.25">
      <c r="A31" s="6">
        <v>30</v>
      </c>
      <c r="B31" s="6" t="s">
        <v>106</v>
      </c>
      <c r="C31" s="6" t="s">
        <v>105</v>
      </c>
      <c r="E31" s="7">
        <v>29</v>
      </c>
      <c r="F31" s="7" t="s">
        <v>58</v>
      </c>
      <c r="G31" s="9"/>
    </row>
    <row r="32" spans="1:7" ht="15" x14ac:dyDescent="0.25">
      <c r="A32" s="6">
        <v>31</v>
      </c>
      <c r="B32" s="6" t="s">
        <v>104</v>
      </c>
      <c r="C32" s="6" t="s">
        <v>152</v>
      </c>
      <c r="E32" s="7">
        <v>30</v>
      </c>
      <c r="F32" s="7" t="s">
        <v>60</v>
      </c>
      <c r="G32" s="9"/>
    </row>
    <row r="33" spans="1:7" ht="15" x14ac:dyDescent="0.25">
      <c r="A33" s="6">
        <v>32</v>
      </c>
      <c r="B33" s="6" t="s">
        <v>103</v>
      </c>
      <c r="C33" s="6" t="s">
        <v>102</v>
      </c>
      <c r="E33" s="7">
        <v>31</v>
      </c>
      <c r="F33" s="7" t="s">
        <v>62</v>
      </c>
      <c r="G33" s="9"/>
    </row>
    <row r="34" spans="1:7" ht="15" x14ac:dyDescent="0.25">
      <c r="A34" s="6">
        <v>33</v>
      </c>
      <c r="B34" s="6" t="s">
        <v>123</v>
      </c>
      <c r="C34" s="6" t="s">
        <v>125</v>
      </c>
      <c r="E34" s="7">
        <v>32</v>
      </c>
      <c r="F34" s="7" t="s">
        <v>64</v>
      </c>
      <c r="G34" s="9"/>
    </row>
    <row r="35" spans="1:7" ht="15" x14ac:dyDescent="0.25">
      <c r="A35" s="6">
        <v>34</v>
      </c>
      <c r="B35" s="6" t="s">
        <v>101</v>
      </c>
      <c r="C35" s="6" t="s">
        <v>100</v>
      </c>
      <c r="E35" s="7">
        <v>33</v>
      </c>
      <c r="F35" s="7" t="s">
        <v>68</v>
      </c>
      <c r="G35" s="9"/>
    </row>
    <row r="36" spans="1:7" ht="15" x14ac:dyDescent="0.25">
      <c r="A36" s="6">
        <v>35</v>
      </c>
      <c r="B36" s="6" t="s">
        <v>124</v>
      </c>
      <c r="C36" s="6" t="s">
        <v>126</v>
      </c>
      <c r="E36" s="7">
        <v>34</v>
      </c>
      <c r="F36" s="7" t="s">
        <v>118</v>
      </c>
      <c r="G36" s="8"/>
    </row>
    <row r="37" spans="1:7" ht="15" x14ac:dyDescent="0.25">
      <c r="A37" s="62" t="s">
        <v>154</v>
      </c>
      <c r="B37" s="62"/>
      <c r="C37" s="62"/>
      <c r="E37" s="7">
        <v>35</v>
      </c>
      <c r="F37" s="7" t="s">
        <v>116</v>
      </c>
      <c r="G37" s="9"/>
    </row>
    <row r="38" spans="1:7" ht="15" x14ac:dyDescent="0.25">
      <c r="B38" s="6" t="s">
        <v>155</v>
      </c>
      <c r="E38" s="7">
        <v>36</v>
      </c>
      <c r="F38" s="7" t="s">
        <v>114</v>
      </c>
      <c r="G38" s="8"/>
    </row>
    <row r="39" spans="1:7" ht="15" x14ac:dyDescent="0.25">
      <c r="B39" s="6" t="s">
        <v>75</v>
      </c>
      <c r="E39" s="7">
        <v>37</v>
      </c>
      <c r="F39" s="7" t="s">
        <v>112</v>
      </c>
      <c r="G39" s="8"/>
    </row>
    <row r="40" spans="1:7" ht="15" x14ac:dyDescent="0.25">
      <c r="B40" s="6" t="s">
        <v>77</v>
      </c>
      <c r="E40" s="7">
        <v>38</v>
      </c>
      <c r="F40" s="7" t="s">
        <v>110</v>
      </c>
      <c r="G40" s="8"/>
    </row>
    <row r="41" spans="1:7" ht="15" x14ac:dyDescent="0.25">
      <c r="B41" s="6" t="s">
        <v>78</v>
      </c>
      <c r="E41" s="7">
        <v>39</v>
      </c>
      <c r="F41" s="7" t="s">
        <v>108</v>
      </c>
      <c r="G41" s="8"/>
    </row>
    <row r="42" spans="1:7" ht="15" x14ac:dyDescent="0.25">
      <c r="B42" s="6" t="s">
        <v>80</v>
      </c>
      <c r="E42" s="7">
        <v>40</v>
      </c>
      <c r="F42" s="7" t="s">
        <v>106</v>
      </c>
      <c r="G42" s="8"/>
    </row>
    <row r="43" spans="1:7" ht="15" x14ac:dyDescent="0.25">
      <c r="B43" s="6" t="s">
        <v>81</v>
      </c>
      <c r="E43" s="7">
        <v>41</v>
      </c>
      <c r="F43" s="7" t="s">
        <v>150</v>
      </c>
      <c r="G43" s="8"/>
    </row>
    <row r="44" spans="1:7" ht="15" x14ac:dyDescent="0.25">
      <c r="B44" s="6" t="s">
        <v>83</v>
      </c>
      <c r="E44" s="7">
        <v>42</v>
      </c>
      <c r="F44" s="7" t="s">
        <v>103</v>
      </c>
      <c r="G44" s="8"/>
    </row>
    <row r="45" spans="1:7" ht="15" x14ac:dyDescent="0.25">
      <c r="B45" s="6" t="s">
        <v>84</v>
      </c>
      <c r="E45" s="7">
        <v>43</v>
      </c>
      <c r="F45" s="7" t="s">
        <v>101</v>
      </c>
      <c r="G45" s="8"/>
    </row>
    <row r="46" spans="1:7" x14ac:dyDescent="0.25">
      <c r="B46" s="6" t="s">
        <v>156</v>
      </c>
    </row>
    <row r="47" spans="1:7" x14ac:dyDescent="0.25">
      <c r="B47" s="6" t="s">
        <v>157</v>
      </c>
    </row>
    <row r="48" spans="1:7" x14ac:dyDescent="0.25">
      <c r="B48" s="6" t="s">
        <v>158</v>
      </c>
    </row>
    <row r="49" spans="2:2" x14ac:dyDescent="0.25">
      <c r="B49" s="6" t="s">
        <v>159</v>
      </c>
    </row>
  </sheetData>
  <mergeCells count="8">
    <mergeCell ref="A37:C37"/>
    <mergeCell ref="G19:G20"/>
    <mergeCell ref="G3:G6"/>
    <mergeCell ref="G7:G10"/>
    <mergeCell ref="G11:G12"/>
    <mergeCell ref="G13:G14"/>
    <mergeCell ref="G15:G16"/>
    <mergeCell ref="G17:G18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A497-7B12-4473-909E-52F01CDFDE41}">
  <sheetPr>
    <pageSetUpPr fitToPage="1"/>
  </sheetPr>
  <dimension ref="A1:S95"/>
  <sheetViews>
    <sheetView topLeftCell="A16" workbookViewId="0">
      <selection activeCell="H27" sqref="H27"/>
    </sheetView>
  </sheetViews>
  <sheetFormatPr defaultColWidth="9" defaultRowHeight="15" x14ac:dyDescent="0.25"/>
  <cols>
    <col min="1" max="2" width="9" style="11"/>
    <col min="3" max="3" width="18.453125" style="11" customWidth="1"/>
    <col min="4" max="4" width="10.6328125" style="11" customWidth="1"/>
    <col min="5" max="6" width="9.7265625" style="11" customWidth="1"/>
    <col min="7" max="8" width="9.08984375" style="11" customWidth="1"/>
    <col min="9" max="9" width="11.7265625" style="11" customWidth="1"/>
    <col min="10" max="10" width="11.90625" style="11" customWidth="1"/>
    <col min="11" max="11" width="13" style="10" customWidth="1"/>
    <col min="12" max="12" width="11.36328125" style="10" customWidth="1"/>
    <col min="13" max="13" width="12" style="10" customWidth="1"/>
    <col min="14" max="14" width="12.7265625" style="10" customWidth="1"/>
    <col min="15" max="15" width="10.453125" style="10" customWidth="1"/>
    <col min="16" max="16" width="9" style="10"/>
  </cols>
  <sheetData>
    <row r="1" spans="1:15" x14ac:dyDescent="0.25">
      <c r="A1" s="12" t="s">
        <v>310</v>
      </c>
      <c r="B1" s="12" t="s">
        <v>309</v>
      </c>
      <c r="C1" s="12" t="s">
        <v>308</v>
      </c>
      <c r="D1" s="12" t="s">
        <v>307</v>
      </c>
      <c r="E1" s="12" t="s">
        <v>306</v>
      </c>
      <c r="F1" s="12" t="s">
        <v>304</v>
      </c>
      <c r="G1" s="12" t="s">
        <v>305</v>
      </c>
      <c r="H1" s="12" t="s">
        <v>304</v>
      </c>
      <c r="I1" s="12" t="s">
        <v>290</v>
      </c>
      <c r="J1" s="12" t="s">
        <v>288</v>
      </c>
      <c r="K1" s="19"/>
      <c r="L1" s="19" t="s">
        <v>280</v>
      </c>
      <c r="M1" s="19" t="s">
        <v>303</v>
      </c>
      <c r="N1" s="19"/>
    </row>
    <row r="2" spans="1:15" x14ac:dyDescent="0.25">
      <c r="A2" s="11">
        <v>1</v>
      </c>
      <c r="B2" s="11" t="s">
        <v>302</v>
      </c>
      <c r="C2" s="14" t="s">
        <v>8</v>
      </c>
      <c r="D2" s="11">
        <v>4</v>
      </c>
      <c r="E2" s="11">
        <v>2.5</v>
      </c>
      <c r="F2" s="11">
        <v>1</v>
      </c>
      <c r="I2" s="11" t="s">
        <v>162</v>
      </c>
      <c r="K2" s="21" t="s">
        <v>278</v>
      </c>
      <c r="L2" s="19">
        <v>0.5</v>
      </c>
      <c r="M2" s="19">
        <f>L2*95</f>
        <v>47.5</v>
      </c>
      <c r="N2" s="19"/>
    </row>
    <row r="3" spans="1:15" x14ac:dyDescent="0.25">
      <c r="A3" s="11">
        <v>2</v>
      </c>
      <c r="B3" s="11" t="s">
        <v>301</v>
      </c>
      <c r="C3" s="14" t="s">
        <v>13</v>
      </c>
      <c r="D3" s="11">
        <v>4</v>
      </c>
      <c r="E3" s="11">
        <v>2.5</v>
      </c>
      <c r="F3" s="11">
        <v>2</v>
      </c>
      <c r="I3" s="11" t="s">
        <v>162</v>
      </c>
      <c r="K3" s="21" t="s">
        <v>276</v>
      </c>
      <c r="L3" s="19">
        <v>10</v>
      </c>
      <c r="M3" s="19">
        <f>L3*95</f>
        <v>950</v>
      </c>
      <c r="N3" s="19"/>
    </row>
    <row r="4" spans="1:15" x14ac:dyDescent="0.25">
      <c r="A4" s="11">
        <v>3</v>
      </c>
      <c r="B4" s="11" t="s">
        <v>300</v>
      </c>
      <c r="C4" s="14" t="s">
        <v>16</v>
      </c>
      <c r="D4" s="11">
        <v>4</v>
      </c>
      <c r="E4" s="11">
        <v>2.5</v>
      </c>
      <c r="F4" s="11">
        <v>3</v>
      </c>
      <c r="I4" s="11" t="s">
        <v>162</v>
      </c>
      <c r="K4" s="21" t="s">
        <v>274</v>
      </c>
      <c r="L4" s="19">
        <v>1.5</v>
      </c>
      <c r="M4" s="19">
        <f>L4*95</f>
        <v>142.5</v>
      </c>
      <c r="N4" s="19"/>
    </row>
    <row r="5" spans="1:15" x14ac:dyDescent="0.25">
      <c r="A5" s="11">
        <v>4</v>
      </c>
      <c r="B5" s="11" t="s">
        <v>299</v>
      </c>
      <c r="C5" s="14" t="s">
        <v>18</v>
      </c>
      <c r="D5" s="11">
        <v>4</v>
      </c>
      <c r="E5" s="11">
        <v>2.5</v>
      </c>
      <c r="F5" s="11">
        <v>4</v>
      </c>
      <c r="I5" s="11" t="s">
        <v>162</v>
      </c>
      <c r="K5" s="21" t="s">
        <v>272</v>
      </c>
      <c r="L5" s="19">
        <v>1</v>
      </c>
      <c r="M5" s="19">
        <f>L5*95</f>
        <v>95</v>
      </c>
      <c r="N5" s="19"/>
    </row>
    <row r="6" spans="1:15" x14ac:dyDescent="0.25">
      <c r="A6" s="11">
        <v>5</v>
      </c>
      <c r="B6" s="11" t="s">
        <v>298</v>
      </c>
      <c r="C6" s="14" t="s">
        <v>21</v>
      </c>
      <c r="D6" s="11">
        <v>4</v>
      </c>
      <c r="E6" s="11">
        <v>2.5</v>
      </c>
      <c r="F6" s="11">
        <v>5</v>
      </c>
      <c r="I6" s="11" t="s">
        <v>162</v>
      </c>
      <c r="K6" s="21" t="s">
        <v>270</v>
      </c>
      <c r="L6" s="19">
        <v>2.5</v>
      </c>
      <c r="M6" s="19"/>
      <c r="N6" s="19"/>
    </row>
    <row r="7" spans="1:15" x14ac:dyDescent="0.25">
      <c r="A7" s="11">
        <v>6</v>
      </c>
      <c r="B7" s="11" t="s">
        <v>297</v>
      </c>
      <c r="C7" s="14" t="s">
        <v>24</v>
      </c>
      <c r="D7" s="11">
        <v>4</v>
      </c>
      <c r="E7" s="11">
        <v>2.5</v>
      </c>
      <c r="F7" s="11">
        <v>6</v>
      </c>
      <c r="I7" s="11" t="s">
        <v>162</v>
      </c>
      <c r="K7" s="19" t="s">
        <v>268</v>
      </c>
      <c r="L7" s="19">
        <v>2.5</v>
      </c>
      <c r="M7" s="19"/>
      <c r="N7" s="19"/>
    </row>
    <row r="8" spans="1:15" x14ac:dyDescent="0.25">
      <c r="A8" s="11">
        <v>7</v>
      </c>
      <c r="B8" s="11" t="s">
        <v>296</v>
      </c>
      <c r="C8" s="14" t="s">
        <v>27</v>
      </c>
      <c r="D8" s="11">
        <v>4</v>
      </c>
      <c r="E8" s="11">
        <v>2.5</v>
      </c>
      <c r="F8" s="11">
        <v>7</v>
      </c>
      <c r="I8" s="11" t="s">
        <v>162</v>
      </c>
      <c r="K8" s="19" t="s">
        <v>295</v>
      </c>
      <c r="L8" s="19">
        <v>4</v>
      </c>
      <c r="M8" s="19"/>
      <c r="N8" s="19"/>
    </row>
    <row r="9" spans="1:15" x14ac:dyDescent="0.25">
      <c r="A9" s="11">
        <v>8</v>
      </c>
      <c r="B9" s="11" t="s">
        <v>294</v>
      </c>
      <c r="C9" s="14" t="s">
        <v>30</v>
      </c>
      <c r="D9" s="11">
        <v>4</v>
      </c>
      <c r="E9" s="11">
        <v>2.5</v>
      </c>
      <c r="F9" s="11">
        <v>8</v>
      </c>
      <c r="I9" s="11" t="s">
        <v>162</v>
      </c>
      <c r="K9" s="20" t="s">
        <v>266</v>
      </c>
      <c r="L9" s="19">
        <v>10</v>
      </c>
      <c r="M9" s="19"/>
      <c r="N9" s="19"/>
    </row>
    <row r="10" spans="1:15" x14ac:dyDescent="0.25">
      <c r="A10" s="11">
        <v>9</v>
      </c>
      <c r="B10" s="11" t="s">
        <v>293</v>
      </c>
      <c r="C10" s="14" t="s">
        <v>33</v>
      </c>
      <c r="D10" s="11">
        <v>4</v>
      </c>
      <c r="E10" s="11">
        <v>2.5</v>
      </c>
      <c r="F10" s="11">
        <v>9</v>
      </c>
      <c r="I10" s="11" t="s">
        <v>162</v>
      </c>
      <c r="K10" s="19" t="s">
        <v>264</v>
      </c>
      <c r="L10" s="19">
        <v>18</v>
      </c>
      <c r="M10" s="19">
        <f>L10*95</f>
        <v>1710</v>
      </c>
      <c r="N10" s="19"/>
    </row>
    <row r="11" spans="1:15" x14ac:dyDescent="0.25">
      <c r="A11" s="11">
        <v>10</v>
      </c>
      <c r="B11" s="11" t="s">
        <v>292</v>
      </c>
      <c r="C11" s="14" t="s">
        <v>36</v>
      </c>
      <c r="D11" s="11">
        <v>4</v>
      </c>
      <c r="E11" s="11">
        <v>2.5</v>
      </c>
      <c r="F11" s="11">
        <v>10</v>
      </c>
      <c r="I11" s="11" t="s">
        <v>162</v>
      </c>
    </row>
    <row r="12" spans="1:15" x14ac:dyDescent="0.25">
      <c r="A12" s="11">
        <v>11</v>
      </c>
      <c r="B12" s="11" t="s">
        <v>291</v>
      </c>
      <c r="C12" s="14" t="s">
        <v>39</v>
      </c>
      <c r="D12" s="11">
        <v>4</v>
      </c>
      <c r="E12" s="11">
        <v>2.5</v>
      </c>
      <c r="F12" s="11">
        <v>11</v>
      </c>
      <c r="I12" s="11" t="s">
        <v>162</v>
      </c>
      <c r="K12" s="19" t="s">
        <v>290</v>
      </c>
      <c r="L12" s="23" t="s">
        <v>287</v>
      </c>
    </row>
    <row r="13" spans="1:15" x14ac:dyDescent="0.25">
      <c r="A13" s="11">
        <v>12</v>
      </c>
      <c r="B13" s="11" t="s">
        <v>289</v>
      </c>
      <c r="C13" s="14" t="s">
        <v>43</v>
      </c>
      <c r="D13" s="11">
        <v>4</v>
      </c>
      <c r="E13" s="11">
        <v>2.5</v>
      </c>
      <c r="F13" s="11">
        <v>12</v>
      </c>
      <c r="I13" s="11" t="s">
        <v>162</v>
      </c>
      <c r="K13" s="19" t="s">
        <v>288</v>
      </c>
      <c r="L13" s="23" t="s">
        <v>287</v>
      </c>
    </row>
    <row r="14" spans="1:15" x14ac:dyDescent="0.25">
      <c r="A14" s="11">
        <v>13</v>
      </c>
      <c r="B14" s="11" t="s">
        <v>286</v>
      </c>
      <c r="C14" s="14" t="s">
        <v>46</v>
      </c>
      <c r="D14" s="11">
        <v>4</v>
      </c>
      <c r="E14" s="11">
        <v>2.5</v>
      </c>
      <c r="F14" s="11">
        <v>13</v>
      </c>
      <c r="I14" s="11" t="s">
        <v>162</v>
      </c>
    </row>
    <row r="15" spans="1:15" x14ac:dyDescent="0.25">
      <c r="A15" s="11">
        <v>14</v>
      </c>
      <c r="B15" s="11" t="s">
        <v>285</v>
      </c>
      <c r="C15" s="14" t="s">
        <v>48</v>
      </c>
      <c r="D15" s="11">
        <v>4</v>
      </c>
      <c r="E15" s="11">
        <v>2.5</v>
      </c>
      <c r="F15" s="11">
        <v>14</v>
      </c>
      <c r="I15" s="11" t="s">
        <v>162</v>
      </c>
    </row>
    <row r="16" spans="1:15" x14ac:dyDescent="0.25">
      <c r="A16" s="11">
        <v>15</v>
      </c>
      <c r="B16" s="11" t="s">
        <v>284</v>
      </c>
      <c r="C16" s="14" t="s">
        <v>51</v>
      </c>
      <c r="D16" s="11">
        <v>4</v>
      </c>
      <c r="E16" s="11">
        <v>2.5</v>
      </c>
      <c r="F16" s="11">
        <v>15</v>
      </c>
      <c r="I16" s="11" t="s">
        <v>162</v>
      </c>
      <c r="L16" s="65" t="s">
        <v>283</v>
      </c>
      <c r="M16" s="65"/>
      <c r="N16" s="65"/>
      <c r="O16" s="65"/>
    </row>
    <row r="17" spans="1:15" x14ac:dyDescent="0.25">
      <c r="A17" s="11">
        <v>16</v>
      </c>
      <c r="B17" s="11" t="s">
        <v>282</v>
      </c>
      <c r="C17" s="14" t="s">
        <v>53</v>
      </c>
      <c r="D17" s="11">
        <v>4</v>
      </c>
      <c r="E17" s="11">
        <v>2.5</v>
      </c>
      <c r="F17" s="11">
        <v>16</v>
      </c>
      <c r="I17" s="11" t="s">
        <v>162</v>
      </c>
      <c r="J17" s="10"/>
      <c r="L17" s="19">
        <v>45</v>
      </c>
      <c r="M17" s="19">
        <v>46</v>
      </c>
      <c r="N17" s="19">
        <v>93</v>
      </c>
      <c r="O17" s="19">
        <v>94</v>
      </c>
    </row>
    <row r="18" spans="1:15" x14ac:dyDescent="0.25">
      <c r="A18" s="11">
        <v>17</v>
      </c>
      <c r="B18" s="11" t="s">
        <v>281</v>
      </c>
      <c r="C18" s="14" t="s">
        <v>56</v>
      </c>
      <c r="D18" s="11">
        <v>4</v>
      </c>
      <c r="E18" s="11">
        <v>2.5</v>
      </c>
      <c r="F18" s="11">
        <v>17</v>
      </c>
      <c r="I18" s="11" t="s">
        <v>162</v>
      </c>
      <c r="J18" s="19"/>
      <c r="K18" s="22" t="s">
        <v>280</v>
      </c>
      <c r="L18" s="19" t="s">
        <v>231</v>
      </c>
      <c r="M18" s="19" t="s">
        <v>230</v>
      </c>
      <c r="N18" s="19" t="s">
        <v>161</v>
      </c>
      <c r="O18" s="19" t="s">
        <v>160</v>
      </c>
    </row>
    <row r="19" spans="1:15" x14ac:dyDescent="0.25">
      <c r="A19" s="11">
        <v>18</v>
      </c>
      <c r="B19" s="11" t="s">
        <v>279</v>
      </c>
      <c r="C19" s="14" t="s">
        <v>58</v>
      </c>
      <c r="D19" s="11">
        <v>4</v>
      </c>
      <c r="E19" s="11">
        <v>2.5</v>
      </c>
      <c r="F19" s="11">
        <v>18</v>
      </c>
      <c r="I19" s="11" t="s">
        <v>162</v>
      </c>
      <c r="J19" s="21" t="s">
        <v>278</v>
      </c>
      <c r="K19" s="19">
        <v>0.5</v>
      </c>
      <c r="L19" s="19">
        <v>0.5</v>
      </c>
      <c r="M19" s="19">
        <v>0.5</v>
      </c>
      <c r="N19" s="19">
        <v>0.5</v>
      </c>
      <c r="O19" s="19">
        <v>0.5</v>
      </c>
    </row>
    <row r="20" spans="1:15" x14ac:dyDescent="0.25">
      <c r="A20" s="11">
        <v>19</v>
      </c>
      <c r="B20" s="11" t="s">
        <v>277</v>
      </c>
      <c r="C20" s="14" t="s">
        <v>60</v>
      </c>
      <c r="D20" s="11">
        <v>4</v>
      </c>
      <c r="E20" s="11">
        <v>2.5</v>
      </c>
      <c r="F20" s="11">
        <v>19</v>
      </c>
      <c r="I20" s="11" t="s">
        <v>162</v>
      </c>
      <c r="J20" s="21" t="s">
        <v>276</v>
      </c>
      <c r="K20" s="19">
        <v>10</v>
      </c>
      <c r="L20" s="19">
        <v>10</v>
      </c>
      <c r="M20" s="19">
        <v>10</v>
      </c>
      <c r="N20" s="19">
        <v>10</v>
      </c>
      <c r="O20" s="19">
        <v>10</v>
      </c>
    </row>
    <row r="21" spans="1:15" x14ac:dyDescent="0.25">
      <c r="A21" s="11">
        <v>20</v>
      </c>
      <c r="B21" s="11" t="s">
        <v>275</v>
      </c>
      <c r="C21" s="14" t="s">
        <v>62</v>
      </c>
      <c r="D21" s="11">
        <v>4</v>
      </c>
      <c r="E21" s="11">
        <v>2.5</v>
      </c>
      <c r="F21" s="11">
        <v>20</v>
      </c>
      <c r="I21" s="11" t="s">
        <v>162</v>
      </c>
      <c r="J21" s="21" t="s">
        <v>274</v>
      </c>
      <c r="K21" s="19">
        <v>1.5</v>
      </c>
      <c r="L21" s="19">
        <v>1.5</v>
      </c>
      <c r="M21" s="19">
        <v>1.5</v>
      </c>
      <c r="N21" s="19">
        <v>1.5</v>
      </c>
      <c r="O21" s="19">
        <v>1.5</v>
      </c>
    </row>
    <row r="22" spans="1:15" x14ac:dyDescent="0.25">
      <c r="A22" s="11">
        <v>21</v>
      </c>
      <c r="B22" s="11" t="s">
        <v>273</v>
      </c>
      <c r="C22" s="14" t="s">
        <v>64</v>
      </c>
      <c r="D22" s="11">
        <v>4</v>
      </c>
      <c r="E22" s="11">
        <v>2.5</v>
      </c>
      <c r="F22" s="11">
        <v>21</v>
      </c>
      <c r="I22" s="11" t="s">
        <v>162</v>
      </c>
      <c r="J22" s="21" t="s">
        <v>272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</row>
    <row r="23" spans="1:15" x14ac:dyDescent="0.25">
      <c r="A23" s="11">
        <v>22</v>
      </c>
      <c r="B23" s="11" t="s">
        <v>271</v>
      </c>
      <c r="C23" s="14" t="s">
        <v>68</v>
      </c>
      <c r="D23" s="11">
        <v>4</v>
      </c>
      <c r="E23" s="11">
        <v>2.5</v>
      </c>
      <c r="F23" s="11">
        <v>22</v>
      </c>
      <c r="I23" s="11" t="s">
        <v>162</v>
      </c>
      <c r="J23" s="21" t="s">
        <v>270</v>
      </c>
      <c r="K23" s="19">
        <v>2.5</v>
      </c>
      <c r="L23" s="19">
        <v>2.5</v>
      </c>
      <c r="M23" s="19">
        <v>2.5</v>
      </c>
      <c r="N23" s="19">
        <v>2.5</v>
      </c>
      <c r="O23" s="19">
        <v>2.5</v>
      </c>
    </row>
    <row r="24" spans="1:15" x14ac:dyDescent="0.25">
      <c r="A24" s="11">
        <v>23</v>
      </c>
      <c r="B24" s="11" t="s">
        <v>269</v>
      </c>
      <c r="C24" s="14" t="s">
        <v>204</v>
      </c>
      <c r="D24" s="11">
        <v>4</v>
      </c>
      <c r="E24" s="11">
        <v>2.5</v>
      </c>
      <c r="F24" s="11">
        <v>1</v>
      </c>
      <c r="I24" s="11" t="s">
        <v>162</v>
      </c>
      <c r="J24" s="19" t="s">
        <v>268</v>
      </c>
      <c r="K24" s="19">
        <v>2.5</v>
      </c>
      <c r="L24" s="19">
        <v>2.5</v>
      </c>
      <c r="M24" s="19">
        <v>2.5</v>
      </c>
      <c r="N24" s="19">
        <v>2.5</v>
      </c>
      <c r="O24" s="19">
        <v>2.5</v>
      </c>
    </row>
    <row r="25" spans="1:15" x14ac:dyDescent="0.25">
      <c r="A25" s="11">
        <v>24</v>
      </c>
      <c r="B25" s="11" t="s">
        <v>267</v>
      </c>
      <c r="C25" s="14" t="s">
        <v>202</v>
      </c>
      <c r="D25" s="11">
        <v>4</v>
      </c>
      <c r="E25" s="11">
        <v>2.5</v>
      </c>
      <c r="F25" s="11">
        <v>2</v>
      </c>
      <c r="I25" s="11" t="s">
        <v>162</v>
      </c>
      <c r="J25" s="20" t="s">
        <v>266</v>
      </c>
      <c r="K25" s="19">
        <v>10</v>
      </c>
      <c r="L25" s="19">
        <v>10</v>
      </c>
      <c r="M25" s="19"/>
      <c r="N25" s="19">
        <v>10</v>
      </c>
      <c r="O25" s="19"/>
    </row>
    <row r="26" spans="1:15" x14ac:dyDescent="0.25">
      <c r="A26" s="11">
        <v>25</v>
      </c>
      <c r="B26" s="11" t="s">
        <v>265</v>
      </c>
      <c r="C26" s="14" t="s">
        <v>200</v>
      </c>
      <c r="D26" s="11">
        <v>4</v>
      </c>
      <c r="E26" s="11">
        <v>2.5</v>
      </c>
      <c r="F26" s="11">
        <v>3</v>
      </c>
      <c r="I26" s="11" t="s">
        <v>162</v>
      </c>
      <c r="J26" s="19" t="s">
        <v>264</v>
      </c>
      <c r="K26" s="19">
        <v>22</v>
      </c>
      <c r="L26" s="19">
        <v>22</v>
      </c>
      <c r="M26" s="19">
        <v>32</v>
      </c>
      <c r="N26" s="19">
        <v>22</v>
      </c>
      <c r="O26" s="19">
        <v>32</v>
      </c>
    </row>
    <row r="27" spans="1:15" x14ac:dyDescent="0.25">
      <c r="A27" s="11">
        <v>26</v>
      </c>
      <c r="B27" s="11" t="s">
        <v>263</v>
      </c>
      <c r="C27" s="14" t="s">
        <v>198</v>
      </c>
      <c r="D27" s="11">
        <v>4</v>
      </c>
      <c r="E27" s="11">
        <v>2.5</v>
      </c>
      <c r="F27" s="11">
        <v>4</v>
      </c>
      <c r="I27" s="11" t="s">
        <v>162</v>
      </c>
      <c r="L27" s="66"/>
      <c r="M27" s="67"/>
      <c r="N27" s="67"/>
      <c r="O27" s="68"/>
    </row>
    <row r="28" spans="1:15" x14ac:dyDescent="0.25">
      <c r="A28" s="11">
        <v>27</v>
      </c>
      <c r="B28" s="11" t="s">
        <v>262</v>
      </c>
      <c r="C28" s="14" t="s">
        <v>196</v>
      </c>
      <c r="D28" s="11">
        <v>4</v>
      </c>
      <c r="E28" s="11">
        <v>2.5</v>
      </c>
      <c r="F28" s="11">
        <v>5</v>
      </c>
      <c r="I28" s="11" t="s">
        <v>162</v>
      </c>
    </row>
    <row r="29" spans="1:15" x14ac:dyDescent="0.25">
      <c r="A29" s="11">
        <v>28</v>
      </c>
      <c r="B29" s="11" t="s">
        <v>261</v>
      </c>
      <c r="C29" s="14" t="s">
        <v>194</v>
      </c>
      <c r="D29" s="11">
        <v>4</v>
      </c>
      <c r="E29" s="11">
        <v>2.5</v>
      </c>
      <c r="F29" s="11">
        <v>6</v>
      </c>
      <c r="I29" s="11" t="s">
        <v>162</v>
      </c>
      <c r="J29" s="17" t="s">
        <v>248</v>
      </c>
      <c r="K29" s="17" t="s">
        <v>3</v>
      </c>
      <c r="L29" s="16"/>
    </row>
    <row r="30" spans="1:15" x14ac:dyDescent="0.25">
      <c r="A30" s="11">
        <v>29</v>
      </c>
      <c r="B30" s="11" t="s">
        <v>260</v>
      </c>
      <c r="C30" s="14" t="s">
        <v>192</v>
      </c>
      <c r="D30" s="11">
        <v>4</v>
      </c>
      <c r="E30" s="11">
        <v>2.5</v>
      </c>
      <c r="F30" s="11">
        <v>7</v>
      </c>
      <c r="I30" s="11" t="s">
        <v>162</v>
      </c>
      <c r="J30" s="17" t="s">
        <v>245</v>
      </c>
      <c r="K30" s="17" t="s">
        <v>238</v>
      </c>
      <c r="L30" s="16"/>
    </row>
    <row r="31" spans="1:15" x14ac:dyDescent="0.25">
      <c r="A31" s="11">
        <v>30</v>
      </c>
      <c r="B31" s="11" t="s">
        <v>259</v>
      </c>
      <c r="C31" s="14" t="s">
        <v>190</v>
      </c>
      <c r="D31" s="11">
        <v>4</v>
      </c>
      <c r="E31" s="11">
        <v>2.5</v>
      </c>
      <c r="F31" s="11">
        <v>8</v>
      </c>
      <c r="I31" s="11" t="s">
        <v>162</v>
      </c>
      <c r="J31" s="17" t="s">
        <v>245</v>
      </c>
      <c r="K31" s="17" t="s">
        <v>244</v>
      </c>
      <c r="L31" s="69" t="s">
        <v>243</v>
      </c>
    </row>
    <row r="32" spans="1:15" x14ac:dyDescent="0.25">
      <c r="A32" s="11">
        <v>31</v>
      </c>
      <c r="B32" s="11" t="s">
        <v>258</v>
      </c>
      <c r="C32" s="14" t="s">
        <v>188</v>
      </c>
      <c r="D32" s="11">
        <v>4</v>
      </c>
      <c r="E32" s="11">
        <v>2.5</v>
      </c>
      <c r="F32" s="11">
        <v>9</v>
      </c>
      <c r="I32" s="11" t="s">
        <v>162</v>
      </c>
      <c r="J32" s="18" t="s">
        <v>257</v>
      </c>
      <c r="K32" s="18" t="s">
        <v>238</v>
      </c>
      <c r="L32" s="69"/>
      <c r="M32" s="10" t="s">
        <v>256</v>
      </c>
    </row>
    <row r="33" spans="1:16" x14ac:dyDescent="0.25">
      <c r="A33" s="11">
        <v>32</v>
      </c>
      <c r="B33" s="11" t="s">
        <v>255</v>
      </c>
      <c r="C33" s="14" t="s">
        <v>186</v>
      </c>
      <c r="D33" s="11">
        <v>4</v>
      </c>
      <c r="E33" s="11">
        <v>2.5</v>
      </c>
      <c r="F33" s="11">
        <v>10</v>
      </c>
      <c r="I33" s="11" t="s">
        <v>162</v>
      </c>
      <c r="J33" s="17" t="s">
        <v>236</v>
      </c>
      <c r="K33" s="17" t="s">
        <v>238</v>
      </c>
      <c r="L33" s="69"/>
    </row>
    <row r="34" spans="1:16" x14ac:dyDescent="0.25">
      <c r="A34" s="11">
        <v>33</v>
      </c>
      <c r="B34" s="11" t="s">
        <v>254</v>
      </c>
      <c r="C34" s="11" t="s">
        <v>74</v>
      </c>
      <c r="D34" s="11">
        <v>4</v>
      </c>
      <c r="E34" s="11">
        <v>2.5</v>
      </c>
      <c r="F34" s="11">
        <v>11</v>
      </c>
      <c r="I34" s="11" t="s">
        <v>162</v>
      </c>
      <c r="J34" s="17" t="s">
        <v>236</v>
      </c>
      <c r="K34" s="17" t="s">
        <v>235</v>
      </c>
      <c r="L34" s="16"/>
    </row>
    <row r="35" spans="1:16" x14ac:dyDescent="0.25">
      <c r="A35" s="11">
        <v>34</v>
      </c>
      <c r="B35" s="11" t="s">
        <v>253</v>
      </c>
      <c r="C35" s="11" t="s">
        <v>75</v>
      </c>
      <c r="D35" s="11">
        <v>4</v>
      </c>
      <c r="E35" s="11">
        <v>2.5</v>
      </c>
      <c r="F35" s="11">
        <v>12</v>
      </c>
      <c r="I35" s="11" t="s">
        <v>162</v>
      </c>
      <c r="J35" s="17" t="s">
        <v>233</v>
      </c>
      <c r="K35" s="17"/>
      <c r="L35" s="16"/>
    </row>
    <row r="36" spans="1:16" x14ac:dyDescent="0.25">
      <c r="A36" s="11">
        <v>35</v>
      </c>
      <c r="B36" s="11" t="s">
        <v>252</v>
      </c>
      <c r="C36" s="11" t="s">
        <v>77</v>
      </c>
      <c r="D36" s="11">
        <v>4</v>
      </c>
      <c r="E36" s="11">
        <v>2.5</v>
      </c>
      <c r="F36" s="11">
        <v>13</v>
      </c>
      <c r="I36" s="11" t="s">
        <v>162</v>
      </c>
      <c r="M36" s="24" t="s">
        <v>251</v>
      </c>
      <c r="N36" s="25" t="s">
        <v>311</v>
      </c>
    </row>
    <row r="37" spans="1:16" x14ac:dyDescent="0.25">
      <c r="A37" s="11">
        <v>36</v>
      </c>
      <c r="B37" s="11" t="s">
        <v>250</v>
      </c>
      <c r="C37" s="11" t="s">
        <v>78</v>
      </c>
      <c r="D37" s="11">
        <v>4</v>
      </c>
      <c r="E37" s="11">
        <v>2.5</v>
      </c>
      <c r="F37" s="11">
        <v>14</v>
      </c>
      <c r="I37" s="11" t="s">
        <v>162</v>
      </c>
    </row>
    <row r="38" spans="1:16" x14ac:dyDescent="0.25">
      <c r="A38" s="11">
        <v>37</v>
      </c>
      <c r="B38" s="11" t="s">
        <v>249</v>
      </c>
      <c r="C38" s="11" t="s">
        <v>80</v>
      </c>
      <c r="D38" s="11">
        <v>4</v>
      </c>
      <c r="E38" s="11">
        <v>2.5</v>
      </c>
      <c r="F38" s="11">
        <v>15</v>
      </c>
      <c r="I38" s="11" t="s">
        <v>162</v>
      </c>
      <c r="J38" s="17" t="s">
        <v>248</v>
      </c>
      <c r="K38" s="17" t="s">
        <v>3</v>
      </c>
      <c r="L38" s="16"/>
    </row>
    <row r="39" spans="1:16" x14ac:dyDescent="0.25">
      <c r="A39" s="11">
        <v>38</v>
      </c>
      <c r="B39" s="11" t="s">
        <v>247</v>
      </c>
      <c r="C39" s="11" t="s">
        <v>81</v>
      </c>
      <c r="D39" s="11">
        <v>4</v>
      </c>
      <c r="E39" s="11">
        <v>2.5</v>
      </c>
      <c r="F39" s="11">
        <v>16</v>
      </c>
      <c r="I39" s="11" t="s">
        <v>162</v>
      </c>
      <c r="J39" s="17" t="s">
        <v>245</v>
      </c>
      <c r="K39" s="17" t="s">
        <v>238</v>
      </c>
      <c r="L39" s="16"/>
    </row>
    <row r="40" spans="1:16" x14ac:dyDescent="0.25">
      <c r="A40" s="11">
        <v>39</v>
      </c>
      <c r="B40" s="11" t="s">
        <v>246</v>
      </c>
      <c r="C40" s="11" t="s">
        <v>83</v>
      </c>
      <c r="D40" s="11">
        <v>4</v>
      </c>
      <c r="E40" s="11">
        <v>2.5</v>
      </c>
      <c r="F40" s="11">
        <v>17</v>
      </c>
      <c r="I40" s="11" t="s">
        <v>162</v>
      </c>
      <c r="J40" s="17" t="s">
        <v>245</v>
      </c>
      <c r="K40" s="17" t="s">
        <v>244</v>
      </c>
      <c r="L40" s="69" t="s">
        <v>243</v>
      </c>
    </row>
    <row r="41" spans="1:16" x14ac:dyDescent="0.25">
      <c r="A41" s="11">
        <v>40</v>
      </c>
      <c r="B41" s="11" t="s">
        <v>242</v>
      </c>
      <c r="C41" s="11" t="s">
        <v>84</v>
      </c>
      <c r="D41" s="11">
        <v>4</v>
      </c>
      <c r="E41" s="11">
        <v>2.5</v>
      </c>
      <c r="F41" s="11">
        <v>18</v>
      </c>
      <c r="I41" s="11" t="s">
        <v>162</v>
      </c>
      <c r="J41" s="18" t="s">
        <v>241</v>
      </c>
      <c r="K41" s="18" t="s">
        <v>238</v>
      </c>
      <c r="L41" s="69"/>
      <c r="M41" s="10" t="s">
        <v>240</v>
      </c>
    </row>
    <row r="42" spans="1:16" x14ac:dyDescent="0.25">
      <c r="A42" s="11">
        <v>41</v>
      </c>
      <c r="B42" s="11" t="s">
        <v>239</v>
      </c>
      <c r="C42" s="11" t="s">
        <v>88</v>
      </c>
      <c r="D42" s="11">
        <v>4</v>
      </c>
      <c r="E42" s="11">
        <v>2.5</v>
      </c>
      <c r="F42" s="11">
        <v>19</v>
      </c>
      <c r="I42" s="11" t="s">
        <v>162</v>
      </c>
      <c r="J42" s="17" t="s">
        <v>236</v>
      </c>
      <c r="K42" s="17" t="s">
        <v>238</v>
      </c>
      <c r="L42" s="69"/>
    </row>
    <row r="43" spans="1:16" x14ac:dyDescent="0.25">
      <c r="A43" s="11">
        <v>42</v>
      </c>
      <c r="B43" s="11" t="s">
        <v>237</v>
      </c>
      <c r="C43" s="11" t="s">
        <v>92</v>
      </c>
      <c r="D43" s="11">
        <v>4</v>
      </c>
      <c r="E43" s="11">
        <v>2.5</v>
      </c>
      <c r="F43" s="11">
        <v>20</v>
      </c>
      <c r="I43" s="11" t="s">
        <v>162</v>
      </c>
      <c r="J43" s="17" t="s">
        <v>236</v>
      </c>
      <c r="K43" s="17" t="s">
        <v>235</v>
      </c>
      <c r="L43" s="16"/>
    </row>
    <row r="44" spans="1:16" x14ac:dyDescent="0.25">
      <c r="A44" s="11">
        <v>43</v>
      </c>
      <c r="B44" s="11" t="s">
        <v>234</v>
      </c>
      <c r="C44" s="11" t="s">
        <v>25</v>
      </c>
      <c r="D44" s="11">
        <v>4</v>
      </c>
      <c r="E44" s="11">
        <v>2.5</v>
      </c>
      <c r="F44" s="11">
        <v>21</v>
      </c>
      <c r="I44" s="11" t="s">
        <v>162</v>
      </c>
      <c r="J44" s="17" t="s">
        <v>233</v>
      </c>
      <c r="K44" s="17"/>
      <c r="L44" s="16"/>
    </row>
    <row r="45" spans="1:16" s="13" customFormat="1" x14ac:dyDescent="0.25">
      <c r="A45" s="12">
        <v>44</v>
      </c>
      <c r="B45" s="12" t="s">
        <v>232</v>
      </c>
      <c r="C45" s="12" t="s">
        <v>163</v>
      </c>
      <c r="D45" s="12">
        <v>4</v>
      </c>
      <c r="E45" s="12">
        <v>2.5</v>
      </c>
      <c r="F45" s="12">
        <v>22</v>
      </c>
      <c r="G45" s="12"/>
      <c r="H45" s="12"/>
      <c r="I45" s="12" t="s">
        <v>162</v>
      </c>
      <c r="J45" s="12"/>
      <c r="K45" s="15"/>
      <c r="L45" s="15"/>
      <c r="M45" s="15"/>
      <c r="N45" s="15"/>
      <c r="O45" s="15"/>
      <c r="P45" s="15"/>
    </row>
    <row r="46" spans="1:16" x14ac:dyDescent="0.25">
      <c r="A46" s="11">
        <v>45</v>
      </c>
      <c r="B46" s="11" t="s">
        <v>231</v>
      </c>
      <c r="C46" s="11" t="s">
        <v>312</v>
      </c>
    </row>
    <row r="47" spans="1:16" x14ac:dyDescent="0.25">
      <c r="A47" s="11">
        <v>46</v>
      </c>
      <c r="B47" s="11" t="s">
        <v>230</v>
      </c>
      <c r="C47" s="26" t="s">
        <v>313</v>
      </c>
    </row>
    <row r="48" spans="1:16" x14ac:dyDescent="0.25">
      <c r="A48" s="11">
        <v>47</v>
      </c>
      <c r="B48" s="11" t="s">
        <v>229</v>
      </c>
    </row>
    <row r="49" spans="1:16" s="13" customFormat="1" x14ac:dyDescent="0.25">
      <c r="A49" s="12">
        <v>48</v>
      </c>
      <c r="B49" s="12" t="s">
        <v>228</v>
      </c>
      <c r="C49" s="12"/>
      <c r="D49" s="12"/>
      <c r="E49" s="12"/>
      <c r="F49" s="12"/>
      <c r="G49" s="12"/>
      <c r="H49" s="12"/>
      <c r="I49" s="12"/>
      <c r="J49" s="12"/>
      <c r="K49" s="15"/>
      <c r="L49" s="15"/>
      <c r="M49" s="15"/>
      <c r="N49" s="15"/>
      <c r="O49" s="15"/>
      <c r="P49" s="15"/>
    </row>
    <row r="50" spans="1:16" x14ac:dyDescent="0.25">
      <c r="A50" s="11">
        <v>49</v>
      </c>
      <c r="B50" s="11" t="s">
        <v>227</v>
      </c>
      <c r="C50" s="14" t="s">
        <v>316</v>
      </c>
      <c r="D50" s="11">
        <v>4</v>
      </c>
      <c r="G50" s="11">
        <v>2.5</v>
      </c>
      <c r="H50" s="11">
        <v>1</v>
      </c>
      <c r="J50" s="11" t="s">
        <v>162</v>
      </c>
    </row>
    <row r="51" spans="1:16" x14ac:dyDescent="0.25">
      <c r="A51" s="11">
        <v>50</v>
      </c>
      <c r="B51" s="11" t="s">
        <v>226</v>
      </c>
      <c r="C51" s="14" t="s">
        <v>302</v>
      </c>
      <c r="D51" s="11">
        <v>4</v>
      </c>
      <c r="G51" s="11">
        <v>2.5</v>
      </c>
      <c r="H51" s="11">
        <v>2</v>
      </c>
      <c r="J51" s="11" t="s">
        <v>162</v>
      </c>
    </row>
    <row r="52" spans="1:16" x14ac:dyDescent="0.25">
      <c r="A52" s="11">
        <v>51</v>
      </c>
      <c r="B52" s="11" t="s">
        <v>225</v>
      </c>
      <c r="C52" s="14" t="s">
        <v>293</v>
      </c>
      <c r="D52" s="11">
        <v>4</v>
      </c>
      <c r="G52" s="11">
        <v>2.5</v>
      </c>
      <c r="H52" s="11">
        <v>3</v>
      </c>
      <c r="J52" s="11" t="s">
        <v>162</v>
      </c>
    </row>
    <row r="53" spans="1:16" x14ac:dyDescent="0.25">
      <c r="A53" s="11">
        <v>52</v>
      </c>
      <c r="B53" s="11" t="s">
        <v>224</v>
      </c>
      <c r="C53" s="14" t="s">
        <v>281</v>
      </c>
      <c r="D53" s="11">
        <v>4</v>
      </c>
      <c r="G53" s="11">
        <v>2.5</v>
      </c>
      <c r="H53" s="11">
        <v>4</v>
      </c>
      <c r="J53" s="11" t="s">
        <v>162</v>
      </c>
    </row>
    <row r="54" spans="1:16" x14ac:dyDescent="0.25">
      <c r="A54" s="11">
        <v>53</v>
      </c>
      <c r="B54" s="11" t="s">
        <v>223</v>
      </c>
      <c r="C54" s="14" t="s">
        <v>265</v>
      </c>
      <c r="D54" s="11">
        <v>4</v>
      </c>
      <c r="G54" s="11">
        <v>2.5</v>
      </c>
      <c r="H54" s="11">
        <v>5</v>
      </c>
      <c r="J54" s="11" t="s">
        <v>162</v>
      </c>
    </row>
    <row r="55" spans="1:16" x14ac:dyDescent="0.25">
      <c r="A55" s="11">
        <v>54</v>
      </c>
      <c r="B55" s="11" t="s">
        <v>222</v>
      </c>
      <c r="C55" s="14" t="s">
        <v>254</v>
      </c>
      <c r="D55" s="11">
        <v>4</v>
      </c>
      <c r="G55" s="11">
        <v>2.5</v>
      </c>
      <c r="H55" s="11">
        <v>6</v>
      </c>
      <c r="J55" s="11" t="s">
        <v>162</v>
      </c>
    </row>
    <row r="56" spans="1:16" x14ac:dyDescent="0.25">
      <c r="A56" s="11">
        <v>55</v>
      </c>
      <c r="B56" s="11" t="s">
        <v>221</v>
      </c>
      <c r="C56" s="14" t="s">
        <v>239</v>
      </c>
      <c r="D56" s="11">
        <v>4</v>
      </c>
      <c r="G56" s="11">
        <v>2.5</v>
      </c>
      <c r="H56" s="11">
        <v>7</v>
      </c>
      <c r="J56" s="11" t="s">
        <v>162</v>
      </c>
    </row>
    <row r="57" spans="1:16" x14ac:dyDescent="0.25">
      <c r="A57" s="11">
        <v>56</v>
      </c>
      <c r="B57" s="11" t="s">
        <v>220</v>
      </c>
      <c r="C57" s="14" t="s">
        <v>227</v>
      </c>
      <c r="D57" s="11">
        <v>4</v>
      </c>
      <c r="G57" s="11">
        <v>2.5</v>
      </c>
      <c r="H57" s="11">
        <v>8</v>
      </c>
      <c r="J57" s="11" t="s">
        <v>162</v>
      </c>
    </row>
    <row r="58" spans="1:16" x14ac:dyDescent="0.25">
      <c r="A58" s="11">
        <v>57</v>
      </c>
      <c r="B58" s="11" t="s">
        <v>219</v>
      </c>
      <c r="C58" s="14" t="s">
        <v>219</v>
      </c>
      <c r="D58" s="11">
        <v>4</v>
      </c>
      <c r="G58" s="11">
        <v>2.5</v>
      </c>
      <c r="H58" s="11">
        <v>9</v>
      </c>
      <c r="J58" s="11" t="s">
        <v>162</v>
      </c>
    </row>
    <row r="59" spans="1:16" x14ac:dyDescent="0.25">
      <c r="A59" s="11">
        <v>58</v>
      </c>
      <c r="B59" s="11" t="s">
        <v>218</v>
      </c>
      <c r="C59" s="14" t="s">
        <v>211</v>
      </c>
      <c r="D59" s="11">
        <v>4</v>
      </c>
      <c r="G59" s="11">
        <v>2.5</v>
      </c>
      <c r="H59" s="11">
        <v>10</v>
      </c>
      <c r="J59" s="11" t="s">
        <v>162</v>
      </c>
    </row>
    <row r="60" spans="1:16" x14ac:dyDescent="0.25">
      <c r="A60" s="11">
        <v>59</v>
      </c>
      <c r="B60" s="11" t="s">
        <v>217</v>
      </c>
      <c r="C60" s="14" t="s">
        <v>201</v>
      </c>
      <c r="D60" s="11">
        <v>4</v>
      </c>
      <c r="G60" s="11">
        <v>2.5</v>
      </c>
      <c r="H60" s="11">
        <v>11</v>
      </c>
      <c r="J60" s="11" t="s">
        <v>162</v>
      </c>
    </row>
    <row r="61" spans="1:16" x14ac:dyDescent="0.25">
      <c r="A61" s="11">
        <v>60</v>
      </c>
      <c r="B61" s="11" t="s">
        <v>216</v>
      </c>
      <c r="C61" s="14" t="s">
        <v>185</v>
      </c>
      <c r="D61" s="11">
        <v>4</v>
      </c>
      <c r="G61" s="11">
        <v>2.5</v>
      </c>
      <c r="H61" s="11">
        <v>12</v>
      </c>
      <c r="J61" s="11" t="s">
        <v>162</v>
      </c>
    </row>
    <row r="62" spans="1:16" x14ac:dyDescent="0.25">
      <c r="A62" s="11">
        <v>61</v>
      </c>
      <c r="B62" s="11" t="s">
        <v>215</v>
      </c>
      <c r="C62" s="14" t="s">
        <v>169</v>
      </c>
      <c r="D62" s="11">
        <v>4</v>
      </c>
      <c r="G62" s="11">
        <v>2.5</v>
      </c>
      <c r="H62" s="11">
        <v>13</v>
      </c>
      <c r="J62" s="11" t="s">
        <v>162</v>
      </c>
    </row>
    <row r="63" spans="1:16" x14ac:dyDescent="0.25">
      <c r="A63" s="11">
        <v>62</v>
      </c>
      <c r="B63" s="11" t="s">
        <v>214</v>
      </c>
      <c r="C63" s="14" t="s">
        <v>317</v>
      </c>
      <c r="D63" s="11">
        <v>4</v>
      </c>
      <c r="G63" s="11">
        <v>2.5</v>
      </c>
      <c r="H63" s="11">
        <v>14</v>
      </c>
      <c r="J63" s="11" t="s">
        <v>162</v>
      </c>
    </row>
    <row r="64" spans="1:16" x14ac:dyDescent="0.25">
      <c r="A64" s="11">
        <v>63</v>
      </c>
      <c r="B64" s="11" t="s">
        <v>213</v>
      </c>
      <c r="C64" s="14" t="s">
        <v>318</v>
      </c>
      <c r="D64" s="11">
        <v>4</v>
      </c>
      <c r="G64" s="11">
        <v>2.5</v>
      </c>
      <c r="H64" s="11">
        <v>15</v>
      </c>
      <c r="J64" s="11" t="s">
        <v>162</v>
      </c>
    </row>
    <row r="65" spans="1:10" x14ac:dyDescent="0.25">
      <c r="A65" s="11">
        <v>64</v>
      </c>
      <c r="B65" s="11" t="s">
        <v>212</v>
      </c>
      <c r="C65" s="14" t="s">
        <v>319</v>
      </c>
      <c r="D65" s="11">
        <v>4</v>
      </c>
      <c r="G65" s="11">
        <v>2.5</v>
      </c>
      <c r="H65" s="11">
        <v>16</v>
      </c>
      <c r="J65" s="11" t="s">
        <v>162</v>
      </c>
    </row>
    <row r="66" spans="1:10" x14ac:dyDescent="0.25">
      <c r="A66" s="11">
        <v>65</v>
      </c>
      <c r="B66" s="11" t="s">
        <v>211</v>
      </c>
      <c r="C66" s="14" t="s">
        <v>320</v>
      </c>
      <c r="D66" s="11">
        <v>4</v>
      </c>
      <c r="G66" s="11">
        <v>2.5</v>
      </c>
      <c r="H66" s="11">
        <v>17</v>
      </c>
      <c r="J66" s="11" t="s">
        <v>162</v>
      </c>
    </row>
    <row r="67" spans="1:10" x14ac:dyDescent="0.25">
      <c r="A67" s="11">
        <v>66</v>
      </c>
      <c r="B67" s="11" t="s">
        <v>210</v>
      </c>
      <c r="C67" s="14" t="s">
        <v>321</v>
      </c>
      <c r="D67" s="11">
        <v>4</v>
      </c>
      <c r="G67" s="11">
        <v>2.5</v>
      </c>
      <c r="H67" s="11">
        <v>18</v>
      </c>
      <c r="J67" s="11" t="s">
        <v>162</v>
      </c>
    </row>
    <row r="68" spans="1:10" x14ac:dyDescent="0.25">
      <c r="A68" s="11">
        <v>67</v>
      </c>
      <c r="B68" s="11" t="s">
        <v>209</v>
      </c>
      <c r="C68" s="14" t="s">
        <v>322</v>
      </c>
      <c r="D68" s="11">
        <v>4</v>
      </c>
      <c r="G68" s="11">
        <v>2.5</v>
      </c>
      <c r="H68" s="11">
        <v>19</v>
      </c>
      <c r="J68" s="11" t="s">
        <v>162</v>
      </c>
    </row>
    <row r="69" spans="1:10" x14ac:dyDescent="0.25">
      <c r="A69" s="11">
        <v>68</v>
      </c>
      <c r="B69" s="11" t="s">
        <v>208</v>
      </c>
      <c r="C69" s="14" t="s">
        <v>323</v>
      </c>
      <c r="D69" s="11">
        <v>4</v>
      </c>
      <c r="G69" s="11">
        <v>2.5</v>
      </c>
      <c r="H69" s="11">
        <v>20</v>
      </c>
      <c r="J69" s="11" t="s">
        <v>162</v>
      </c>
    </row>
    <row r="70" spans="1:10" x14ac:dyDescent="0.25">
      <c r="A70" s="11">
        <v>69</v>
      </c>
      <c r="B70" s="11" t="s">
        <v>207</v>
      </c>
      <c r="C70" s="14" t="s">
        <v>324</v>
      </c>
      <c r="D70" s="11">
        <v>4</v>
      </c>
      <c r="G70" s="11">
        <v>2.5</v>
      </c>
      <c r="H70" s="11">
        <v>21</v>
      </c>
      <c r="J70" s="11" t="s">
        <v>162</v>
      </c>
    </row>
    <row r="71" spans="1:10" x14ac:dyDescent="0.25">
      <c r="A71" s="11">
        <v>70</v>
      </c>
      <c r="B71" s="11" t="s">
        <v>206</v>
      </c>
      <c r="C71" s="14" t="s">
        <v>325</v>
      </c>
      <c r="D71" s="11">
        <v>4</v>
      </c>
      <c r="G71" s="11">
        <v>2.5</v>
      </c>
      <c r="H71" s="11">
        <v>22</v>
      </c>
      <c r="J71" s="11" t="s">
        <v>162</v>
      </c>
    </row>
    <row r="72" spans="1:10" x14ac:dyDescent="0.25">
      <c r="A72" s="11">
        <v>71</v>
      </c>
      <c r="B72" s="11" t="s">
        <v>205</v>
      </c>
      <c r="C72" s="14" t="s">
        <v>326</v>
      </c>
      <c r="D72" s="11">
        <v>4</v>
      </c>
      <c r="G72" s="11">
        <v>2.5</v>
      </c>
      <c r="H72" s="11">
        <v>1</v>
      </c>
      <c r="J72" s="11" t="s">
        <v>162</v>
      </c>
    </row>
    <row r="73" spans="1:10" x14ac:dyDescent="0.25">
      <c r="A73" s="11">
        <v>72</v>
      </c>
      <c r="B73" s="11" t="s">
        <v>203</v>
      </c>
      <c r="C73" s="14" t="s">
        <v>327</v>
      </c>
      <c r="D73" s="11">
        <v>4</v>
      </c>
      <c r="G73" s="11">
        <v>2.5</v>
      </c>
      <c r="H73" s="11">
        <v>2</v>
      </c>
      <c r="J73" s="11" t="s">
        <v>162</v>
      </c>
    </row>
    <row r="74" spans="1:10" x14ac:dyDescent="0.25">
      <c r="A74" s="11">
        <v>73</v>
      </c>
      <c r="B74" s="11" t="s">
        <v>201</v>
      </c>
      <c r="C74" s="14" t="s">
        <v>296</v>
      </c>
      <c r="D74" s="11">
        <v>4</v>
      </c>
      <c r="G74" s="11">
        <v>2.5</v>
      </c>
      <c r="H74" s="11">
        <v>3</v>
      </c>
      <c r="J74" s="11" t="s">
        <v>162</v>
      </c>
    </row>
    <row r="75" spans="1:10" x14ac:dyDescent="0.25">
      <c r="A75" s="11">
        <v>74</v>
      </c>
      <c r="B75" s="11" t="s">
        <v>199</v>
      </c>
      <c r="C75" s="14" t="s">
        <v>284</v>
      </c>
      <c r="D75" s="11">
        <v>4</v>
      </c>
      <c r="G75" s="11">
        <v>2.5</v>
      </c>
      <c r="H75" s="11">
        <v>4</v>
      </c>
      <c r="J75" s="11" t="s">
        <v>162</v>
      </c>
    </row>
    <row r="76" spans="1:10" x14ac:dyDescent="0.25">
      <c r="A76" s="11">
        <v>75</v>
      </c>
      <c r="B76" s="11" t="s">
        <v>197</v>
      </c>
      <c r="C76" s="14" t="s">
        <v>269</v>
      </c>
      <c r="D76" s="11">
        <v>4</v>
      </c>
      <c r="G76" s="11">
        <v>2.5</v>
      </c>
      <c r="H76" s="11">
        <v>5</v>
      </c>
      <c r="J76" s="11" t="s">
        <v>162</v>
      </c>
    </row>
    <row r="77" spans="1:10" x14ac:dyDescent="0.25">
      <c r="A77" s="11">
        <v>76</v>
      </c>
      <c r="B77" s="11" t="s">
        <v>195</v>
      </c>
      <c r="C77" s="14" t="s">
        <v>258</v>
      </c>
      <c r="D77" s="11">
        <v>4</v>
      </c>
      <c r="G77" s="11">
        <v>2.5</v>
      </c>
      <c r="H77" s="11">
        <v>6</v>
      </c>
      <c r="J77" s="11" t="s">
        <v>162</v>
      </c>
    </row>
    <row r="78" spans="1:10" x14ac:dyDescent="0.25">
      <c r="A78" s="11">
        <v>77</v>
      </c>
      <c r="B78" s="11" t="s">
        <v>193</v>
      </c>
      <c r="C78" s="14" t="s">
        <v>246</v>
      </c>
      <c r="D78" s="11">
        <v>4</v>
      </c>
      <c r="G78" s="11">
        <v>2.5</v>
      </c>
      <c r="H78" s="11">
        <v>7</v>
      </c>
      <c r="J78" s="11" t="s">
        <v>162</v>
      </c>
    </row>
    <row r="79" spans="1:10" x14ac:dyDescent="0.25">
      <c r="A79" s="11">
        <v>78</v>
      </c>
      <c r="B79" s="11" t="s">
        <v>191</v>
      </c>
      <c r="C79" s="14" t="s">
        <v>328</v>
      </c>
      <c r="D79" s="11">
        <v>4</v>
      </c>
      <c r="G79" s="11">
        <v>2.5</v>
      </c>
      <c r="H79" s="11">
        <v>8</v>
      </c>
      <c r="J79" s="11" t="s">
        <v>162</v>
      </c>
    </row>
    <row r="80" spans="1:10" x14ac:dyDescent="0.25">
      <c r="A80" s="11">
        <v>79</v>
      </c>
      <c r="B80" s="11" t="s">
        <v>189</v>
      </c>
      <c r="C80" s="14" t="s">
        <v>329</v>
      </c>
      <c r="D80" s="11">
        <v>4</v>
      </c>
      <c r="G80" s="11">
        <v>2.5</v>
      </c>
      <c r="H80" s="11">
        <v>9</v>
      </c>
      <c r="J80" s="11" t="s">
        <v>162</v>
      </c>
    </row>
    <row r="81" spans="1:19" x14ac:dyDescent="0.25">
      <c r="A81" s="11">
        <v>80</v>
      </c>
      <c r="B81" s="11" t="s">
        <v>187</v>
      </c>
      <c r="C81" s="14" t="s">
        <v>330</v>
      </c>
      <c r="D81" s="11">
        <v>4</v>
      </c>
      <c r="G81" s="11">
        <v>2.5</v>
      </c>
      <c r="H81" s="11">
        <v>10</v>
      </c>
      <c r="J81" s="11" t="s">
        <v>162</v>
      </c>
    </row>
    <row r="82" spans="1:19" x14ac:dyDescent="0.25">
      <c r="A82" s="11">
        <v>81</v>
      </c>
      <c r="B82" s="11" t="s">
        <v>185</v>
      </c>
      <c r="C82" s="11" t="s">
        <v>184</v>
      </c>
      <c r="D82" s="11">
        <v>4</v>
      </c>
      <c r="G82" s="11">
        <v>2.5</v>
      </c>
      <c r="H82" s="11">
        <v>11</v>
      </c>
      <c r="J82" s="11" t="s">
        <v>162</v>
      </c>
    </row>
    <row r="83" spans="1:19" x14ac:dyDescent="0.25">
      <c r="A83" s="11">
        <v>82</v>
      </c>
      <c r="B83" s="11" t="s">
        <v>183</v>
      </c>
      <c r="C83" s="11" t="s">
        <v>182</v>
      </c>
      <c r="D83" s="11">
        <v>4</v>
      </c>
      <c r="G83" s="11">
        <v>2.5</v>
      </c>
      <c r="H83" s="11">
        <v>12</v>
      </c>
      <c r="J83" s="11" t="s">
        <v>162</v>
      </c>
    </row>
    <row r="84" spans="1:19" x14ac:dyDescent="0.25">
      <c r="A84" s="11">
        <v>83</v>
      </c>
      <c r="B84" s="11" t="s">
        <v>181</v>
      </c>
      <c r="C84" s="11" t="s">
        <v>180</v>
      </c>
      <c r="D84" s="11">
        <v>4</v>
      </c>
      <c r="G84" s="11">
        <v>2.5</v>
      </c>
      <c r="H84" s="11">
        <v>13</v>
      </c>
      <c r="J84" s="11" t="s">
        <v>162</v>
      </c>
    </row>
    <row r="85" spans="1:19" x14ac:dyDescent="0.25">
      <c r="A85" s="11">
        <v>84</v>
      </c>
      <c r="B85" s="11" t="s">
        <v>179</v>
      </c>
      <c r="C85" s="11" t="s">
        <v>178</v>
      </c>
      <c r="D85" s="11">
        <v>4</v>
      </c>
      <c r="G85" s="11">
        <v>2.5</v>
      </c>
      <c r="H85" s="11">
        <v>14</v>
      </c>
      <c r="J85" s="11" t="s">
        <v>162</v>
      </c>
    </row>
    <row r="86" spans="1:19" x14ac:dyDescent="0.25">
      <c r="A86" s="11">
        <v>85</v>
      </c>
      <c r="B86" s="11" t="s">
        <v>177</v>
      </c>
      <c r="C86" s="11" t="s">
        <v>176</v>
      </c>
      <c r="D86" s="11">
        <v>4</v>
      </c>
      <c r="G86" s="11">
        <v>2.5</v>
      </c>
      <c r="H86" s="11">
        <v>15</v>
      </c>
      <c r="J86" s="11" t="s">
        <v>162</v>
      </c>
    </row>
    <row r="87" spans="1:19" x14ac:dyDescent="0.25">
      <c r="A87" s="11">
        <v>86</v>
      </c>
      <c r="B87" s="11" t="s">
        <v>175</v>
      </c>
      <c r="C87" s="11" t="s">
        <v>174</v>
      </c>
      <c r="D87" s="11">
        <v>4</v>
      </c>
      <c r="G87" s="11">
        <v>2.5</v>
      </c>
      <c r="H87" s="11">
        <v>16</v>
      </c>
      <c r="J87" s="11" t="s">
        <v>162</v>
      </c>
    </row>
    <row r="88" spans="1:19" x14ac:dyDescent="0.25">
      <c r="A88" s="11">
        <v>87</v>
      </c>
      <c r="B88" s="11" t="s">
        <v>173</v>
      </c>
      <c r="C88" s="11" t="s">
        <v>172</v>
      </c>
      <c r="D88" s="11">
        <v>4</v>
      </c>
      <c r="G88" s="11">
        <v>2.5</v>
      </c>
      <c r="H88" s="11">
        <v>17</v>
      </c>
      <c r="J88" s="11" t="s">
        <v>162</v>
      </c>
    </row>
    <row r="89" spans="1:19" s="13" customFormat="1" x14ac:dyDescent="0.25">
      <c r="A89" s="11">
        <v>88</v>
      </c>
      <c r="B89" s="11" t="s">
        <v>171</v>
      </c>
      <c r="C89" s="11" t="s">
        <v>170</v>
      </c>
      <c r="D89" s="11">
        <v>4</v>
      </c>
      <c r="E89" s="11"/>
      <c r="F89" s="11"/>
      <c r="G89" s="11">
        <v>2.5</v>
      </c>
      <c r="H89" s="11">
        <v>18</v>
      </c>
      <c r="I89" s="11"/>
      <c r="J89" s="11" t="s">
        <v>162</v>
      </c>
      <c r="K89" s="10"/>
      <c r="L89" s="10"/>
      <c r="M89" s="10"/>
      <c r="N89" s="10"/>
      <c r="O89" s="10"/>
      <c r="P89" s="10"/>
      <c r="Q89"/>
      <c r="R89"/>
      <c r="S89"/>
    </row>
    <row r="90" spans="1:19" x14ac:dyDescent="0.25">
      <c r="A90" s="11">
        <v>89</v>
      </c>
      <c r="B90" s="11" t="s">
        <v>169</v>
      </c>
      <c r="C90" s="11" t="s">
        <v>168</v>
      </c>
      <c r="D90" s="11">
        <v>4</v>
      </c>
      <c r="G90" s="11">
        <v>2.5</v>
      </c>
      <c r="H90" s="11">
        <v>19</v>
      </c>
      <c r="J90" s="11" t="s">
        <v>162</v>
      </c>
    </row>
    <row r="91" spans="1:19" x14ac:dyDescent="0.25">
      <c r="A91" s="11">
        <v>90</v>
      </c>
      <c r="B91" s="11" t="s">
        <v>167</v>
      </c>
      <c r="C91" s="11" t="s">
        <v>166</v>
      </c>
      <c r="D91" s="11">
        <v>4</v>
      </c>
      <c r="G91" s="11">
        <v>2.5</v>
      </c>
      <c r="H91" s="11">
        <v>20</v>
      </c>
      <c r="J91" s="11" t="s">
        <v>162</v>
      </c>
    </row>
    <row r="92" spans="1:19" x14ac:dyDescent="0.25">
      <c r="A92" s="11">
        <v>91</v>
      </c>
      <c r="B92" s="11" t="s">
        <v>165</v>
      </c>
      <c r="C92" s="11" t="s">
        <v>331</v>
      </c>
      <c r="D92" s="11">
        <v>4</v>
      </c>
      <c r="G92" s="11">
        <v>2.5</v>
      </c>
      <c r="H92" s="11">
        <v>21</v>
      </c>
      <c r="J92" s="11" t="s">
        <v>162</v>
      </c>
    </row>
    <row r="93" spans="1:19" x14ac:dyDescent="0.25">
      <c r="A93" s="12">
        <v>92</v>
      </c>
      <c r="B93" s="12" t="s">
        <v>164</v>
      </c>
      <c r="C93" s="12" t="s">
        <v>332</v>
      </c>
      <c r="D93" s="12">
        <v>4</v>
      </c>
      <c r="E93" s="12"/>
      <c r="F93" s="12"/>
      <c r="G93" s="12">
        <v>2.5</v>
      </c>
      <c r="H93" s="12">
        <v>22</v>
      </c>
      <c r="I93" s="12"/>
      <c r="J93" s="12" t="s">
        <v>162</v>
      </c>
    </row>
    <row r="94" spans="1:19" x14ac:dyDescent="0.25">
      <c r="A94" s="11">
        <v>93</v>
      </c>
      <c r="B94" s="11" t="s">
        <v>161</v>
      </c>
      <c r="C94" s="26" t="s">
        <v>314</v>
      </c>
    </row>
    <row r="95" spans="1:19" x14ac:dyDescent="0.25">
      <c r="A95" s="12">
        <v>94</v>
      </c>
      <c r="B95" s="12" t="s">
        <v>160</v>
      </c>
      <c r="C95" s="27" t="s">
        <v>315</v>
      </c>
      <c r="D95" s="12"/>
      <c r="E95" s="12"/>
      <c r="F95" s="12"/>
      <c r="G95" s="12"/>
      <c r="H95" s="12"/>
      <c r="I95" s="12"/>
      <c r="J95" s="12"/>
    </row>
  </sheetData>
  <mergeCells count="4">
    <mergeCell ref="L16:O16"/>
    <mergeCell ref="L27:O27"/>
    <mergeCell ref="L31:L33"/>
    <mergeCell ref="L40:L42"/>
  </mergeCells>
  <phoneticPr fontId="9" type="noConversion"/>
  <conditionalFormatting sqref="C1:C1048576">
    <cfRule type="duplicateValues" dxfId="0" priority="1"/>
  </conditionalFormatting>
  <pageMargins left="0.25" right="0.25" top="0.75" bottom="0.75" header="0.29861111111111099" footer="0.29861111111111099"/>
  <pageSetup paperSize="9" scale="5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B737-DA30-4F65-9BEF-734F17C16D8D}">
  <dimension ref="A1:K93"/>
  <sheetViews>
    <sheetView tabSelected="1" topLeftCell="A46" zoomScaleNormal="100" workbookViewId="0">
      <selection activeCell="K48" sqref="K48"/>
    </sheetView>
  </sheetViews>
  <sheetFormatPr defaultRowHeight="15" x14ac:dyDescent="0.25"/>
  <cols>
    <col min="2" max="2" width="19.453125" style="1" customWidth="1"/>
    <col min="4" max="4" width="9.7265625" style="11" customWidth="1"/>
    <col min="11" max="11" width="17.7265625" customWidth="1"/>
  </cols>
  <sheetData>
    <row r="1" spans="1:11" ht="28" x14ac:dyDescent="0.25">
      <c r="A1" s="39" t="s">
        <v>339</v>
      </c>
      <c r="B1" s="40" t="s">
        <v>340</v>
      </c>
      <c r="C1" s="39" t="s">
        <v>341</v>
      </c>
      <c r="D1" s="12" t="s">
        <v>304</v>
      </c>
      <c r="E1" s="33" t="s">
        <v>338</v>
      </c>
      <c r="F1" s="41" t="s">
        <v>344</v>
      </c>
      <c r="G1" s="42" t="s">
        <v>345</v>
      </c>
      <c r="H1" s="42" t="s">
        <v>346</v>
      </c>
      <c r="I1" s="49" t="s">
        <v>347</v>
      </c>
      <c r="J1" s="49" t="s">
        <v>348</v>
      </c>
      <c r="K1" s="49" t="s">
        <v>349</v>
      </c>
    </row>
    <row r="2" spans="1:11" ht="21" x14ac:dyDescent="0.25">
      <c r="A2" s="29">
        <v>1</v>
      </c>
      <c r="B2" s="30" t="s">
        <v>8</v>
      </c>
      <c r="C2" s="30" t="s">
        <v>342</v>
      </c>
      <c r="D2" s="11">
        <v>1</v>
      </c>
      <c r="E2" s="34" t="s">
        <v>302</v>
      </c>
      <c r="F2" s="43">
        <v>66.400000000000006</v>
      </c>
      <c r="G2" s="44">
        <v>50</v>
      </c>
      <c r="H2" s="46">
        <v>3.32</v>
      </c>
      <c r="I2" s="48">
        <f>400/F2</f>
        <v>6.0240963855421681</v>
      </c>
      <c r="J2" s="50">
        <v>7</v>
      </c>
      <c r="K2" s="39" t="s">
        <v>350</v>
      </c>
    </row>
    <row r="3" spans="1:11" ht="21" x14ac:dyDescent="0.25">
      <c r="A3" s="29">
        <v>2</v>
      </c>
      <c r="B3" s="30" t="s">
        <v>13</v>
      </c>
      <c r="C3" s="30" t="s">
        <v>342</v>
      </c>
      <c r="D3" s="11">
        <v>2</v>
      </c>
      <c r="E3" s="34" t="s">
        <v>301</v>
      </c>
      <c r="F3" s="43">
        <v>49.7</v>
      </c>
      <c r="G3" s="44">
        <v>50</v>
      </c>
      <c r="H3" s="45">
        <v>2.4849999999999999</v>
      </c>
      <c r="I3" s="48">
        <f t="shared" ref="I3:I66" si="0">400/F3</f>
        <v>8.0482897384305829</v>
      </c>
      <c r="J3" s="50">
        <v>8.0482897384305829</v>
      </c>
      <c r="K3" s="39" t="s">
        <v>350</v>
      </c>
    </row>
    <row r="4" spans="1:11" ht="21" x14ac:dyDescent="0.25">
      <c r="A4" s="29">
        <v>3</v>
      </c>
      <c r="B4" s="30" t="s">
        <v>16</v>
      </c>
      <c r="C4" s="30" t="s">
        <v>342</v>
      </c>
      <c r="D4" s="11">
        <v>3</v>
      </c>
      <c r="E4" s="34" t="s">
        <v>300</v>
      </c>
      <c r="F4" s="43">
        <v>47.8</v>
      </c>
      <c r="G4" s="44">
        <v>50</v>
      </c>
      <c r="H4" s="46">
        <v>2.39</v>
      </c>
      <c r="I4" s="48">
        <f t="shared" si="0"/>
        <v>8.3682008368200833</v>
      </c>
      <c r="J4" s="50">
        <v>8.3682008368200833</v>
      </c>
      <c r="K4" s="39" t="s">
        <v>350</v>
      </c>
    </row>
    <row r="5" spans="1:11" ht="21" x14ac:dyDescent="0.25">
      <c r="A5" s="29">
        <v>4</v>
      </c>
      <c r="B5" s="30" t="s">
        <v>18</v>
      </c>
      <c r="C5" s="30" t="s">
        <v>342</v>
      </c>
      <c r="D5" s="11">
        <v>4</v>
      </c>
      <c r="E5" s="34" t="s">
        <v>299</v>
      </c>
      <c r="F5" s="43">
        <v>52.4</v>
      </c>
      <c r="G5" s="44">
        <v>50</v>
      </c>
      <c r="H5" s="46">
        <v>2.62</v>
      </c>
      <c r="I5" s="48">
        <f t="shared" si="0"/>
        <v>7.6335877862595423</v>
      </c>
      <c r="J5" s="50">
        <v>7.6335877862595423</v>
      </c>
      <c r="K5" s="39" t="s">
        <v>350</v>
      </c>
    </row>
    <row r="6" spans="1:11" ht="21" x14ac:dyDescent="0.25">
      <c r="A6" s="29">
        <v>5</v>
      </c>
      <c r="B6" s="30" t="s">
        <v>21</v>
      </c>
      <c r="C6" s="30" t="s">
        <v>342</v>
      </c>
      <c r="D6" s="11">
        <v>5</v>
      </c>
      <c r="E6" s="34" t="s">
        <v>298</v>
      </c>
      <c r="F6" s="43">
        <v>45</v>
      </c>
      <c r="G6" s="44">
        <v>50</v>
      </c>
      <c r="H6" s="46">
        <v>2.25</v>
      </c>
      <c r="I6" s="48">
        <f t="shared" si="0"/>
        <v>8.8888888888888893</v>
      </c>
      <c r="J6" s="50">
        <v>8.8888888888888893</v>
      </c>
      <c r="K6" s="39" t="s">
        <v>350</v>
      </c>
    </row>
    <row r="7" spans="1:11" ht="21" x14ac:dyDescent="0.25">
      <c r="A7" s="29">
        <v>6</v>
      </c>
      <c r="B7" s="30" t="s">
        <v>24</v>
      </c>
      <c r="C7" s="30" t="s">
        <v>342</v>
      </c>
      <c r="D7" s="11">
        <v>6</v>
      </c>
      <c r="E7" s="34" t="s">
        <v>297</v>
      </c>
      <c r="F7" s="43">
        <v>47</v>
      </c>
      <c r="G7" s="44">
        <v>50</v>
      </c>
      <c r="H7" s="46">
        <v>2.35</v>
      </c>
      <c r="I7" s="48">
        <f t="shared" si="0"/>
        <v>8.5106382978723403</v>
      </c>
      <c r="J7" s="50">
        <v>8.5106382978723403</v>
      </c>
      <c r="K7" s="39" t="s">
        <v>350</v>
      </c>
    </row>
    <row r="8" spans="1:11" ht="21" x14ac:dyDescent="0.25">
      <c r="A8" s="29">
        <v>7</v>
      </c>
      <c r="B8" s="30" t="s">
        <v>27</v>
      </c>
      <c r="C8" s="30" t="s">
        <v>342</v>
      </c>
      <c r="D8" s="11">
        <v>7</v>
      </c>
      <c r="E8" s="34" t="s">
        <v>296</v>
      </c>
      <c r="F8" s="43">
        <v>50.1</v>
      </c>
      <c r="G8" s="44">
        <v>50</v>
      </c>
      <c r="H8" s="45">
        <v>2.5049999999999999</v>
      </c>
      <c r="I8" s="48">
        <f t="shared" si="0"/>
        <v>7.9840319361277441</v>
      </c>
      <c r="J8" s="50">
        <v>7.9840319361277441</v>
      </c>
      <c r="K8" s="39" t="s">
        <v>350</v>
      </c>
    </row>
    <row r="9" spans="1:11" ht="21" x14ac:dyDescent="0.25">
      <c r="A9" s="29">
        <v>8</v>
      </c>
      <c r="B9" s="30" t="s">
        <v>30</v>
      </c>
      <c r="C9" s="30" t="s">
        <v>342</v>
      </c>
      <c r="D9" s="11">
        <v>8</v>
      </c>
      <c r="E9" s="34" t="s">
        <v>294</v>
      </c>
      <c r="F9" s="43">
        <v>42.9</v>
      </c>
      <c r="G9" s="44">
        <v>50</v>
      </c>
      <c r="H9" s="45">
        <v>2.145</v>
      </c>
      <c r="I9" s="48">
        <f t="shared" si="0"/>
        <v>9.3240093240093245</v>
      </c>
      <c r="J9" s="50">
        <v>9.3240093240093245</v>
      </c>
      <c r="K9" s="39" t="s">
        <v>350</v>
      </c>
    </row>
    <row r="10" spans="1:11" ht="21" x14ac:dyDescent="0.25">
      <c r="A10" s="29">
        <v>9</v>
      </c>
      <c r="B10" s="30" t="s">
        <v>33</v>
      </c>
      <c r="C10" s="30" t="s">
        <v>342</v>
      </c>
      <c r="D10" s="11">
        <v>9</v>
      </c>
      <c r="E10" s="34" t="s">
        <v>293</v>
      </c>
      <c r="F10" s="43">
        <v>47.7</v>
      </c>
      <c r="G10" s="44">
        <v>50</v>
      </c>
      <c r="H10" s="45">
        <v>2.3849999999999998</v>
      </c>
      <c r="I10" s="48">
        <f t="shared" si="0"/>
        <v>8.3857442348008373</v>
      </c>
      <c r="J10" s="50">
        <v>8.3857442348008373</v>
      </c>
      <c r="K10" s="39" t="s">
        <v>350</v>
      </c>
    </row>
    <row r="11" spans="1:11" ht="21" x14ac:dyDescent="0.25">
      <c r="A11" s="29">
        <v>10</v>
      </c>
      <c r="B11" s="30" t="s">
        <v>36</v>
      </c>
      <c r="C11" s="30" t="s">
        <v>342</v>
      </c>
      <c r="D11" s="11">
        <v>10</v>
      </c>
      <c r="E11" s="34" t="s">
        <v>292</v>
      </c>
      <c r="F11" s="43">
        <v>38.6</v>
      </c>
      <c r="G11" s="44">
        <v>50</v>
      </c>
      <c r="H11" s="46">
        <v>1.93</v>
      </c>
      <c r="I11" s="48">
        <f t="shared" si="0"/>
        <v>10.362694300518134</v>
      </c>
      <c r="J11" s="50">
        <v>10.362694300518134</v>
      </c>
      <c r="K11" s="39" t="s">
        <v>350</v>
      </c>
    </row>
    <row r="12" spans="1:11" ht="21" x14ac:dyDescent="0.25">
      <c r="A12" s="29">
        <v>11</v>
      </c>
      <c r="B12" s="30" t="s">
        <v>39</v>
      </c>
      <c r="C12" s="30" t="s">
        <v>342</v>
      </c>
      <c r="D12" s="11">
        <v>11</v>
      </c>
      <c r="E12" s="34" t="s">
        <v>291</v>
      </c>
      <c r="F12" s="43">
        <v>1.9</v>
      </c>
      <c r="G12" s="44">
        <v>50</v>
      </c>
      <c r="H12" s="45">
        <v>9.5000000000000001E-2</v>
      </c>
      <c r="I12" s="48">
        <f t="shared" si="0"/>
        <v>210.5263157894737</v>
      </c>
      <c r="J12" s="50">
        <v>0.1</v>
      </c>
      <c r="K12" s="39" t="s">
        <v>350</v>
      </c>
    </row>
    <row r="13" spans="1:11" ht="21" x14ac:dyDescent="0.25">
      <c r="A13" s="29">
        <v>12</v>
      </c>
      <c r="B13" s="30" t="s">
        <v>43</v>
      </c>
      <c r="C13" s="30" t="s">
        <v>342</v>
      </c>
      <c r="D13" s="11">
        <v>12</v>
      </c>
      <c r="E13" s="34" t="s">
        <v>289</v>
      </c>
      <c r="F13" s="43">
        <v>35.200000000000003</v>
      </c>
      <c r="G13" s="44">
        <v>50</v>
      </c>
      <c r="H13" s="46">
        <v>1.76</v>
      </c>
      <c r="I13" s="48">
        <f t="shared" si="0"/>
        <v>11.363636363636363</v>
      </c>
      <c r="J13" s="50">
        <v>11.363636363636363</v>
      </c>
      <c r="K13" s="39" t="s">
        <v>350</v>
      </c>
    </row>
    <row r="14" spans="1:11" ht="21" x14ac:dyDescent="0.25">
      <c r="A14" s="29">
        <v>13</v>
      </c>
      <c r="B14" s="30" t="s">
        <v>46</v>
      </c>
      <c r="C14" s="30" t="s">
        <v>342</v>
      </c>
      <c r="D14" s="11">
        <v>13</v>
      </c>
      <c r="E14" s="34" t="s">
        <v>286</v>
      </c>
      <c r="F14" s="43">
        <v>46.2</v>
      </c>
      <c r="G14" s="44">
        <v>50</v>
      </c>
      <c r="H14" s="46">
        <v>2.31</v>
      </c>
      <c r="I14" s="48">
        <f t="shared" si="0"/>
        <v>8.6580086580086579</v>
      </c>
      <c r="J14" s="50">
        <v>8.6580086580086579</v>
      </c>
      <c r="K14" s="39" t="s">
        <v>350</v>
      </c>
    </row>
    <row r="15" spans="1:11" ht="21" x14ac:dyDescent="0.25">
      <c r="A15" s="29">
        <v>14</v>
      </c>
      <c r="B15" s="30" t="s">
        <v>48</v>
      </c>
      <c r="C15" s="30" t="s">
        <v>342</v>
      </c>
      <c r="D15" s="11">
        <v>14</v>
      </c>
      <c r="E15" s="34" t="s">
        <v>285</v>
      </c>
      <c r="F15" s="43">
        <v>39</v>
      </c>
      <c r="G15" s="44">
        <v>50</v>
      </c>
      <c r="H15" s="46">
        <v>1.95</v>
      </c>
      <c r="I15" s="48">
        <f t="shared" si="0"/>
        <v>10.256410256410257</v>
      </c>
      <c r="J15" s="50">
        <v>10.256410256410257</v>
      </c>
      <c r="K15" s="39" t="s">
        <v>350</v>
      </c>
    </row>
    <row r="16" spans="1:11" ht="21" x14ac:dyDescent="0.25">
      <c r="A16" s="29">
        <v>15</v>
      </c>
      <c r="B16" s="30" t="s">
        <v>51</v>
      </c>
      <c r="C16" s="30" t="s">
        <v>342</v>
      </c>
      <c r="D16" s="11">
        <v>15</v>
      </c>
      <c r="E16" s="34" t="s">
        <v>284</v>
      </c>
      <c r="F16" s="43">
        <v>46.1</v>
      </c>
      <c r="G16" s="44">
        <v>50</v>
      </c>
      <c r="H16" s="45">
        <v>2.3050000000000002</v>
      </c>
      <c r="I16" s="48">
        <f t="shared" si="0"/>
        <v>8.676789587852495</v>
      </c>
      <c r="J16" s="50">
        <v>8.676789587852495</v>
      </c>
      <c r="K16" s="39" t="s">
        <v>350</v>
      </c>
    </row>
    <row r="17" spans="1:11" ht="21" x14ac:dyDescent="0.25">
      <c r="A17" s="29">
        <v>16</v>
      </c>
      <c r="B17" s="30" t="s">
        <v>53</v>
      </c>
      <c r="C17" s="30" t="s">
        <v>342</v>
      </c>
      <c r="D17" s="11">
        <v>16</v>
      </c>
      <c r="E17" s="34" t="s">
        <v>282</v>
      </c>
      <c r="F17" s="43">
        <v>32.6</v>
      </c>
      <c r="G17" s="44">
        <v>50</v>
      </c>
      <c r="H17" s="46">
        <v>1.63</v>
      </c>
      <c r="I17" s="48">
        <f t="shared" si="0"/>
        <v>12.269938650306749</v>
      </c>
      <c r="J17" s="50">
        <v>12.269938650306749</v>
      </c>
      <c r="K17" s="39" t="s">
        <v>350</v>
      </c>
    </row>
    <row r="18" spans="1:11" ht="21" x14ac:dyDescent="0.25">
      <c r="A18" s="29">
        <v>17</v>
      </c>
      <c r="B18" s="31" t="s">
        <v>56</v>
      </c>
      <c r="C18" s="30" t="s">
        <v>342</v>
      </c>
      <c r="D18" s="11">
        <v>17</v>
      </c>
      <c r="E18" s="34" t="s">
        <v>281</v>
      </c>
      <c r="F18" s="43">
        <v>46.8</v>
      </c>
      <c r="G18" s="44">
        <v>50</v>
      </c>
      <c r="H18" s="46">
        <v>2.34</v>
      </c>
      <c r="I18" s="48">
        <f t="shared" si="0"/>
        <v>8.5470085470085468</v>
      </c>
      <c r="J18" s="50">
        <v>8.5470085470085468</v>
      </c>
      <c r="K18" s="39" t="s">
        <v>350</v>
      </c>
    </row>
    <row r="19" spans="1:11" ht="21" x14ac:dyDescent="0.25">
      <c r="A19" s="29">
        <v>18</v>
      </c>
      <c r="B19" s="31" t="s">
        <v>58</v>
      </c>
      <c r="C19" s="30" t="s">
        <v>342</v>
      </c>
      <c r="D19" s="11">
        <v>18</v>
      </c>
      <c r="E19" s="34" t="s">
        <v>279</v>
      </c>
      <c r="F19" s="43">
        <v>60.2</v>
      </c>
      <c r="G19" s="44">
        <v>50</v>
      </c>
      <c r="H19" s="46">
        <v>3.01</v>
      </c>
      <c r="I19" s="48">
        <f t="shared" si="0"/>
        <v>6.6445182724252492</v>
      </c>
      <c r="J19" s="50">
        <v>7</v>
      </c>
      <c r="K19" s="39" t="s">
        <v>350</v>
      </c>
    </row>
    <row r="20" spans="1:11" ht="21" x14ac:dyDescent="0.25">
      <c r="A20" s="29">
        <v>19</v>
      </c>
      <c r="B20" s="31" t="s">
        <v>60</v>
      </c>
      <c r="C20" s="30" t="s">
        <v>342</v>
      </c>
      <c r="D20" s="11">
        <v>19</v>
      </c>
      <c r="E20" s="34" t="s">
        <v>277</v>
      </c>
      <c r="F20" s="43">
        <v>10</v>
      </c>
      <c r="G20" s="44">
        <v>50</v>
      </c>
      <c r="H20" s="47">
        <v>0.5</v>
      </c>
      <c r="I20" s="48">
        <f t="shared" si="0"/>
        <v>40</v>
      </c>
      <c r="J20" s="50">
        <v>0.1</v>
      </c>
      <c r="K20" s="39" t="s">
        <v>350</v>
      </c>
    </row>
    <row r="21" spans="1:11" ht="21" x14ac:dyDescent="0.25">
      <c r="A21" s="29">
        <v>20</v>
      </c>
      <c r="B21" s="31" t="s">
        <v>62</v>
      </c>
      <c r="C21" s="30" t="s">
        <v>342</v>
      </c>
      <c r="D21" s="11">
        <v>20</v>
      </c>
      <c r="E21" s="34" t="s">
        <v>275</v>
      </c>
      <c r="F21" s="43">
        <v>21.3</v>
      </c>
      <c r="G21" s="44">
        <v>50</v>
      </c>
      <c r="H21" s="45">
        <v>1.0649999999999999</v>
      </c>
      <c r="I21" s="48">
        <f t="shared" si="0"/>
        <v>18.779342723004696</v>
      </c>
      <c r="J21" s="50">
        <v>18.779342723004696</v>
      </c>
      <c r="K21" s="39" t="s">
        <v>350</v>
      </c>
    </row>
    <row r="22" spans="1:11" ht="21" x14ac:dyDescent="0.25">
      <c r="A22" s="29">
        <v>21</v>
      </c>
      <c r="B22" s="31" t="s">
        <v>64</v>
      </c>
      <c r="C22" s="30" t="s">
        <v>342</v>
      </c>
      <c r="D22" s="11">
        <v>21</v>
      </c>
      <c r="E22" s="34" t="s">
        <v>273</v>
      </c>
      <c r="F22" s="43">
        <v>41.5</v>
      </c>
      <c r="G22" s="44">
        <v>50</v>
      </c>
      <c r="H22" s="45">
        <v>2.0750000000000002</v>
      </c>
      <c r="I22" s="48">
        <f t="shared" si="0"/>
        <v>9.6385542168674707</v>
      </c>
      <c r="J22" s="50">
        <v>9.6385542168674707</v>
      </c>
      <c r="K22" s="39" t="s">
        <v>350</v>
      </c>
    </row>
    <row r="23" spans="1:11" ht="21" x14ac:dyDescent="0.25">
      <c r="A23" s="29">
        <v>22</v>
      </c>
      <c r="B23" s="31" t="s">
        <v>68</v>
      </c>
      <c r="C23" s="30" t="s">
        <v>342</v>
      </c>
      <c r="D23" s="11">
        <v>22</v>
      </c>
      <c r="E23" s="34" t="s">
        <v>271</v>
      </c>
      <c r="F23" s="43">
        <v>48.8</v>
      </c>
      <c r="G23" s="44">
        <v>50</v>
      </c>
      <c r="H23" s="46">
        <v>2.44</v>
      </c>
      <c r="I23" s="48">
        <f t="shared" si="0"/>
        <v>8.1967213114754109</v>
      </c>
      <c r="J23" s="50">
        <v>8.1967213114754109</v>
      </c>
      <c r="K23" s="39" t="s">
        <v>350</v>
      </c>
    </row>
    <row r="24" spans="1:11" ht="21" x14ac:dyDescent="0.25">
      <c r="A24" s="29">
        <v>23</v>
      </c>
      <c r="B24" s="31" t="s">
        <v>204</v>
      </c>
      <c r="C24" s="30" t="s">
        <v>342</v>
      </c>
      <c r="D24" s="11">
        <v>1</v>
      </c>
      <c r="E24" s="35" t="s">
        <v>269</v>
      </c>
      <c r="F24" s="43">
        <v>26.7</v>
      </c>
      <c r="G24" s="44">
        <v>50</v>
      </c>
      <c r="H24" s="45">
        <v>1.335</v>
      </c>
      <c r="I24" s="48">
        <f t="shared" si="0"/>
        <v>14.981273408239701</v>
      </c>
      <c r="J24" s="50">
        <v>14.981273408239701</v>
      </c>
      <c r="K24" s="39" t="s">
        <v>351</v>
      </c>
    </row>
    <row r="25" spans="1:11" ht="21" x14ac:dyDescent="0.25">
      <c r="A25" s="29">
        <v>24</v>
      </c>
      <c r="B25" s="31" t="s">
        <v>202</v>
      </c>
      <c r="C25" s="30" t="s">
        <v>342</v>
      </c>
      <c r="D25" s="11">
        <v>2</v>
      </c>
      <c r="E25" s="36" t="s">
        <v>267</v>
      </c>
      <c r="F25" s="43">
        <v>3.5</v>
      </c>
      <c r="G25" s="44">
        <v>50</v>
      </c>
      <c r="H25" s="45">
        <v>0.17499999999999999</v>
      </c>
      <c r="I25" s="48">
        <f t="shared" si="0"/>
        <v>114.28571428571429</v>
      </c>
      <c r="J25" s="50">
        <v>0.1</v>
      </c>
      <c r="K25" s="39" t="s">
        <v>351</v>
      </c>
    </row>
    <row r="26" spans="1:11" ht="21" x14ac:dyDescent="0.25">
      <c r="A26" s="29">
        <v>25</v>
      </c>
      <c r="B26" s="31" t="s">
        <v>200</v>
      </c>
      <c r="C26" s="30" t="s">
        <v>342</v>
      </c>
      <c r="D26" s="11">
        <v>3</v>
      </c>
      <c r="E26" s="37" t="s">
        <v>265</v>
      </c>
      <c r="F26" s="43">
        <v>51.2</v>
      </c>
      <c r="G26" s="44">
        <v>50</v>
      </c>
      <c r="H26" s="46">
        <v>2.56</v>
      </c>
      <c r="I26" s="48">
        <f t="shared" si="0"/>
        <v>7.8125</v>
      </c>
      <c r="J26" s="50">
        <v>7.8125</v>
      </c>
      <c r="K26" s="39" t="s">
        <v>351</v>
      </c>
    </row>
    <row r="27" spans="1:11" ht="21" x14ac:dyDescent="0.25">
      <c r="A27" s="29">
        <v>26</v>
      </c>
      <c r="B27" s="31" t="s">
        <v>198</v>
      </c>
      <c r="C27" s="30" t="s">
        <v>342</v>
      </c>
      <c r="D27" s="11">
        <v>4</v>
      </c>
      <c r="E27" s="34" t="s">
        <v>263</v>
      </c>
      <c r="F27" s="43">
        <v>54.2</v>
      </c>
      <c r="G27" s="44">
        <v>50</v>
      </c>
      <c r="H27" s="46">
        <v>2.71</v>
      </c>
      <c r="I27" s="48">
        <f t="shared" si="0"/>
        <v>7.3800738007380069</v>
      </c>
      <c r="J27" s="50">
        <v>7.3800738007380069</v>
      </c>
      <c r="K27" s="39" t="s">
        <v>351</v>
      </c>
    </row>
    <row r="28" spans="1:11" ht="21" x14ac:dyDescent="0.25">
      <c r="A28" s="29">
        <v>27</v>
      </c>
      <c r="B28" s="31" t="s">
        <v>196</v>
      </c>
      <c r="C28" s="30" t="s">
        <v>342</v>
      </c>
      <c r="D28" s="11">
        <v>5</v>
      </c>
      <c r="E28" s="34" t="s">
        <v>262</v>
      </c>
      <c r="F28" s="43">
        <v>16.3</v>
      </c>
      <c r="G28" s="44">
        <v>50</v>
      </c>
      <c r="H28" s="45">
        <v>0.81499999999999995</v>
      </c>
      <c r="I28" s="48">
        <f t="shared" si="0"/>
        <v>24.539877300613497</v>
      </c>
      <c r="J28" s="50">
        <v>24.539877300613497</v>
      </c>
      <c r="K28" s="39" t="s">
        <v>351</v>
      </c>
    </row>
    <row r="29" spans="1:11" ht="21" x14ac:dyDescent="0.25">
      <c r="A29" s="29">
        <v>28</v>
      </c>
      <c r="B29" s="31" t="s">
        <v>194</v>
      </c>
      <c r="C29" s="30" t="s">
        <v>342</v>
      </c>
      <c r="D29" s="11">
        <v>6</v>
      </c>
      <c r="E29" s="34" t="s">
        <v>261</v>
      </c>
      <c r="F29" s="43">
        <v>48.9</v>
      </c>
      <c r="G29" s="44">
        <v>50</v>
      </c>
      <c r="H29" s="45">
        <v>2.4449999999999998</v>
      </c>
      <c r="I29" s="48">
        <f t="shared" si="0"/>
        <v>8.1799591002044991</v>
      </c>
      <c r="J29" s="50">
        <v>8.1799591002044991</v>
      </c>
      <c r="K29" s="39" t="s">
        <v>351</v>
      </c>
    </row>
    <row r="30" spans="1:11" ht="21" x14ac:dyDescent="0.25">
      <c r="A30" s="29">
        <v>29</v>
      </c>
      <c r="B30" s="31" t="s">
        <v>192</v>
      </c>
      <c r="C30" s="30" t="s">
        <v>342</v>
      </c>
      <c r="D30" s="11">
        <v>7</v>
      </c>
      <c r="E30" s="34" t="s">
        <v>260</v>
      </c>
      <c r="F30" s="43">
        <v>52</v>
      </c>
      <c r="G30" s="44">
        <v>50</v>
      </c>
      <c r="H30" s="47">
        <v>2.6</v>
      </c>
      <c r="I30" s="48">
        <f t="shared" si="0"/>
        <v>7.6923076923076925</v>
      </c>
      <c r="J30" s="50">
        <v>7.6923076923076925</v>
      </c>
      <c r="K30" s="39" t="s">
        <v>351</v>
      </c>
    </row>
    <row r="31" spans="1:11" ht="21" x14ac:dyDescent="0.25">
      <c r="A31" s="29">
        <v>30</v>
      </c>
      <c r="B31" s="31" t="s">
        <v>190</v>
      </c>
      <c r="C31" s="30" t="s">
        <v>342</v>
      </c>
      <c r="D31" s="11">
        <v>8</v>
      </c>
      <c r="E31" s="34" t="s">
        <v>259</v>
      </c>
      <c r="F31" s="43">
        <v>56.8</v>
      </c>
      <c r="G31" s="44">
        <v>50</v>
      </c>
      <c r="H31" s="46">
        <v>2.84</v>
      </c>
      <c r="I31" s="48">
        <f t="shared" si="0"/>
        <v>7.042253521126761</v>
      </c>
      <c r="J31" s="50">
        <v>7.042253521126761</v>
      </c>
      <c r="K31" s="39" t="s">
        <v>351</v>
      </c>
    </row>
    <row r="32" spans="1:11" ht="21" x14ac:dyDescent="0.25">
      <c r="A32" s="29">
        <v>31</v>
      </c>
      <c r="B32" s="31" t="s">
        <v>188</v>
      </c>
      <c r="C32" s="30" t="s">
        <v>342</v>
      </c>
      <c r="D32" s="11">
        <v>9</v>
      </c>
      <c r="E32" s="34" t="s">
        <v>258</v>
      </c>
      <c r="F32" s="43">
        <v>52.7</v>
      </c>
      <c r="G32" s="44">
        <v>50</v>
      </c>
      <c r="H32" s="45">
        <v>2.6349999999999998</v>
      </c>
      <c r="I32" s="48">
        <f t="shared" si="0"/>
        <v>7.5901328273244779</v>
      </c>
      <c r="J32" s="50">
        <v>7.5901328273244779</v>
      </c>
      <c r="K32" s="39" t="s">
        <v>351</v>
      </c>
    </row>
    <row r="33" spans="1:11" ht="21" x14ac:dyDescent="0.25">
      <c r="A33" s="29">
        <v>32</v>
      </c>
      <c r="B33" s="31" t="s">
        <v>186</v>
      </c>
      <c r="C33" s="30" t="s">
        <v>342</v>
      </c>
      <c r="D33" s="11">
        <v>10</v>
      </c>
      <c r="E33" s="34" t="s">
        <v>255</v>
      </c>
      <c r="F33" s="43">
        <v>46.7</v>
      </c>
      <c r="G33" s="44">
        <v>50</v>
      </c>
      <c r="H33" s="45">
        <v>2.335</v>
      </c>
      <c r="I33" s="48">
        <f t="shared" si="0"/>
        <v>8.5653104925053523</v>
      </c>
      <c r="J33" s="50">
        <v>8.5653104925053523</v>
      </c>
      <c r="K33" s="39" t="s">
        <v>351</v>
      </c>
    </row>
    <row r="34" spans="1:11" ht="21" x14ac:dyDescent="0.25">
      <c r="A34" s="29">
        <v>33</v>
      </c>
      <c r="B34" s="31" t="s">
        <v>74</v>
      </c>
      <c r="C34" s="30" t="s">
        <v>342</v>
      </c>
      <c r="D34" s="11">
        <v>11</v>
      </c>
      <c r="E34" s="34" t="s">
        <v>254</v>
      </c>
      <c r="F34" s="43">
        <v>56</v>
      </c>
      <c r="G34" s="44">
        <v>50</v>
      </c>
      <c r="H34" s="47">
        <v>2.8</v>
      </c>
      <c r="I34" s="48">
        <f t="shared" si="0"/>
        <v>7.1428571428571432</v>
      </c>
      <c r="J34" s="50">
        <v>7.1428571428571432</v>
      </c>
      <c r="K34" s="39" t="s">
        <v>351</v>
      </c>
    </row>
    <row r="35" spans="1:11" ht="21" x14ac:dyDescent="0.25">
      <c r="A35" s="29">
        <v>34</v>
      </c>
      <c r="B35" s="31" t="s">
        <v>75</v>
      </c>
      <c r="C35" s="30" t="s">
        <v>342</v>
      </c>
      <c r="D35" s="11">
        <v>12</v>
      </c>
      <c r="E35" s="34" t="s">
        <v>253</v>
      </c>
      <c r="F35" s="43">
        <v>58</v>
      </c>
      <c r="G35" s="44">
        <v>50</v>
      </c>
      <c r="H35" s="47">
        <v>2.9</v>
      </c>
      <c r="I35" s="48">
        <f t="shared" si="0"/>
        <v>6.8965517241379306</v>
      </c>
      <c r="J35" s="50">
        <v>6.8965517241379306</v>
      </c>
      <c r="K35" s="39" t="s">
        <v>351</v>
      </c>
    </row>
    <row r="36" spans="1:11" ht="21" x14ac:dyDescent="0.25">
      <c r="A36" s="29">
        <v>35</v>
      </c>
      <c r="B36" s="31" t="s">
        <v>77</v>
      </c>
      <c r="C36" s="30" t="s">
        <v>342</v>
      </c>
      <c r="D36" s="11">
        <v>13</v>
      </c>
      <c r="E36" s="34" t="s">
        <v>252</v>
      </c>
      <c r="F36" s="43">
        <v>65.2</v>
      </c>
      <c r="G36" s="44">
        <v>50</v>
      </c>
      <c r="H36" s="46">
        <v>3.26</v>
      </c>
      <c r="I36" s="48">
        <f t="shared" si="0"/>
        <v>6.1349693251533743</v>
      </c>
      <c r="J36" s="50">
        <v>6.1349693251533743</v>
      </c>
      <c r="K36" s="39" t="s">
        <v>351</v>
      </c>
    </row>
    <row r="37" spans="1:11" ht="21" x14ac:dyDescent="0.25">
      <c r="A37" s="29">
        <v>36</v>
      </c>
      <c r="B37" s="31" t="s">
        <v>78</v>
      </c>
      <c r="C37" s="30" t="s">
        <v>342</v>
      </c>
      <c r="D37" s="11">
        <v>14</v>
      </c>
      <c r="E37" s="34" t="s">
        <v>250</v>
      </c>
      <c r="F37" s="43">
        <v>50.1</v>
      </c>
      <c r="G37" s="44">
        <v>50</v>
      </c>
      <c r="H37" s="45">
        <v>2.5049999999999999</v>
      </c>
      <c r="I37" s="48">
        <f t="shared" si="0"/>
        <v>7.9840319361277441</v>
      </c>
      <c r="J37" s="50">
        <v>7.9840319361277441</v>
      </c>
      <c r="K37" s="39" t="s">
        <v>351</v>
      </c>
    </row>
    <row r="38" spans="1:11" ht="21" x14ac:dyDescent="0.25">
      <c r="A38" s="29">
        <v>37</v>
      </c>
      <c r="B38" s="31" t="s">
        <v>80</v>
      </c>
      <c r="C38" s="30" t="s">
        <v>342</v>
      </c>
      <c r="D38" s="11">
        <v>15</v>
      </c>
      <c r="E38" s="36" t="s">
        <v>249</v>
      </c>
      <c r="F38" s="43">
        <v>64.099999999999994</v>
      </c>
      <c r="G38" s="44">
        <v>50</v>
      </c>
      <c r="H38" s="45">
        <v>3.2050000000000001</v>
      </c>
      <c r="I38" s="48">
        <f t="shared" si="0"/>
        <v>6.2402496099844003</v>
      </c>
      <c r="J38" s="50">
        <v>6.2402496099844003</v>
      </c>
      <c r="K38" s="39" t="s">
        <v>351</v>
      </c>
    </row>
    <row r="39" spans="1:11" ht="21" x14ac:dyDescent="0.25">
      <c r="A39" s="29">
        <v>38</v>
      </c>
      <c r="B39" s="31" t="s">
        <v>81</v>
      </c>
      <c r="C39" s="30" t="s">
        <v>342</v>
      </c>
      <c r="D39" s="11">
        <v>16</v>
      </c>
      <c r="E39" s="36" t="s">
        <v>247</v>
      </c>
      <c r="F39" s="43">
        <v>44.8</v>
      </c>
      <c r="G39" s="44">
        <v>50</v>
      </c>
      <c r="H39" s="46">
        <v>2.2400000000000002</v>
      </c>
      <c r="I39" s="48">
        <f t="shared" si="0"/>
        <v>8.9285714285714288</v>
      </c>
      <c r="J39" s="50">
        <v>8.9285714285714288</v>
      </c>
      <c r="K39" s="39" t="s">
        <v>351</v>
      </c>
    </row>
    <row r="40" spans="1:11" ht="21" x14ac:dyDescent="0.25">
      <c r="A40" s="29">
        <v>39</v>
      </c>
      <c r="B40" s="31" t="s">
        <v>83</v>
      </c>
      <c r="C40" s="30" t="s">
        <v>342</v>
      </c>
      <c r="D40" s="11">
        <v>17</v>
      </c>
      <c r="E40" s="36" t="s">
        <v>246</v>
      </c>
      <c r="F40" s="43">
        <v>55</v>
      </c>
      <c r="G40" s="44">
        <v>50</v>
      </c>
      <c r="H40" s="46">
        <v>2.75</v>
      </c>
      <c r="I40" s="48">
        <f t="shared" si="0"/>
        <v>7.2727272727272725</v>
      </c>
      <c r="J40" s="50">
        <v>7.2727272727272725</v>
      </c>
      <c r="K40" s="39" t="s">
        <v>351</v>
      </c>
    </row>
    <row r="41" spans="1:11" ht="21" x14ac:dyDescent="0.25">
      <c r="A41" s="29">
        <v>40</v>
      </c>
      <c r="B41" s="31" t="s">
        <v>84</v>
      </c>
      <c r="C41" s="30" t="s">
        <v>342</v>
      </c>
      <c r="D41" s="11">
        <v>18</v>
      </c>
      <c r="E41" s="36" t="s">
        <v>242</v>
      </c>
      <c r="F41" s="43">
        <v>57</v>
      </c>
      <c r="G41" s="44">
        <v>50</v>
      </c>
      <c r="H41" s="46">
        <v>2.85</v>
      </c>
      <c r="I41" s="48">
        <f t="shared" si="0"/>
        <v>7.0175438596491224</v>
      </c>
      <c r="J41" s="50">
        <v>7.0175438596491224</v>
      </c>
      <c r="K41" s="39" t="s">
        <v>351</v>
      </c>
    </row>
    <row r="42" spans="1:11" ht="21" x14ac:dyDescent="0.25">
      <c r="A42" s="29">
        <v>41</v>
      </c>
      <c r="B42" s="31" t="s">
        <v>88</v>
      </c>
      <c r="C42" s="30" t="s">
        <v>342</v>
      </c>
      <c r="D42" s="11">
        <v>19</v>
      </c>
      <c r="E42" s="36" t="s">
        <v>239</v>
      </c>
      <c r="F42" s="43">
        <v>50.3</v>
      </c>
      <c r="G42" s="44">
        <v>50</v>
      </c>
      <c r="H42" s="45">
        <v>2.5150000000000001</v>
      </c>
      <c r="I42" s="48">
        <f t="shared" si="0"/>
        <v>7.9522862823061633</v>
      </c>
      <c r="J42" s="50">
        <v>7.9522862823061633</v>
      </c>
      <c r="K42" s="39" t="s">
        <v>351</v>
      </c>
    </row>
    <row r="43" spans="1:11" ht="21" x14ac:dyDescent="0.25">
      <c r="A43" s="29">
        <v>42</v>
      </c>
      <c r="B43" s="31" t="s">
        <v>92</v>
      </c>
      <c r="C43" s="30" t="s">
        <v>342</v>
      </c>
      <c r="D43" s="11">
        <v>20</v>
      </c>
      <c r="E43" s="36" t="s">
        <v>237</v>
      </c>
      <c r="F43" s="43">
        <v>46.3</v>
      </c>
      <c r="G43" s="44">
        <v>50</v>
      </c>
      <c r="H43" s="45">
        <v>2.3149999999999999</v>
      </c>
      <c r="I43" s="48">
        <f t="shared" si="0"/>
        <v>8.6393088552915778</v>
      </c>
      <c r="J43" s="50">
        <v>8.6393088552915778</v>
      </c>
      <c r="K43" s="39" t="s">
        <v>351</v>
      </c>
    </row>
    <row r="44" spans="1:11" ht="21" x14ac:dyDescent="0.25">
      <c r="A44" s="29">
        <v>43</v>
      </c>
      <c r="B44" s="31" t="s">
        <v>25</v>
      </c>
      <c r="C44" s="30" t="s">
        <v>342</v>
      </c>
      <c r="D44" s="11">
        <v>21</v>
      </c>
      <c r="E44" s="36" t="s">
        <v>234</v>
      </c>
      <c r="F44" s="43">
        <v>52.7</v>
      </c>
      <c r="G44" s="44">
        <v>50</v>
      </c>
      <c r="H44" s="45">
        <v>2.6349999999999998</v>
      </c>
      <c r="I44" s="48">
        <f t="shared" si="0"/>
        <v>7.5901328273244779</v>
      </c>
      <c r="J44" s="50">
        <v>7.5901328273244779</v>
      </c>
      <c r="K44" s="39" t="s">
        <v>351</v>
      </c>
    </row>
    <row r="45" spans="1:11" ht="21" x14ac:dyDescent="0.25">
      <c r="A45" s="29">
        <v>44</v>
      </c>
      <c r="B45" s="31" t="s">
        <v>163</v>
      </c>
      <c r="C45" s="30" t="s">
        <v>342</v>
      </c>
      <c r="D45" s="12">
        <v>22</v>
      </c>
      <c r="E45" s="36" t="s">
        <v>232</v>
      </c>
      <c r="F45" s="43">
        <v>62.7</v>
      </c>
      <c r="G45" s="44">
        <v>50</v>
      </c>
      <c r="H45" s="45">
        <v>3.1349999999999998</v>
      </c>
      <c r="I45" s="48">
        <f t="shared" si="0"/>
        <v>6.3795853269537481</v>
      </c>
      <c r="J45" s="50">
        <v>6.3795853269537481</v>
      </c>
      <c r="K45" s="39" t="s">
        <v>351</v>
      </c>
    </row>
    <row r="46" spans="1:11" ht="21" x14ac:dyDescent="0.25">
      <c r="A46" s="29">
        <v>45</v>
      </c>
      <c r="B46" s="31" t="s">
        <v>334</v>
      </c>
      <c r="C46" s="30" t="s">
        <v>342</v>
      </c>
      <c r="D46" s="12">
        <v>22</v>
      </c>
      <c r="E46" s="36" t="s">
        <v>231</v>
      </c>
      <c r="F46" s="43">
        <v>25</v>
      </c>
      <c r="G46" s="44">
        <v>50</v>
      </c>
      <c r="H46" s="46">
        <v>1.25</v>
      </c>
      <c r="I46" s="48">
        <f t="shared" si="0"/>
        <v>16</v>
      </c>
      <c r="J46" s="50">
        <v>16</v>
      </c>
      <c r="K46" s="39" t="s">
        <v>353</v>
      </c>
    </row>
    <row r="47" spans="1:11" ht="21" x14ac:dyDescent="0.25">
      <c r="A47" s="29">
        <v>46</v>
      </c>
      <c r="B47" s="31" t="s">
        <v>335</v>
      </c>
      <c r="C47" s="30" t="s">
        <v>342</v>
      </c>
      <c r="D47" s="12">
        <v>22</v>
      </c>
      <c r="E47" s="36" t="s">
        <v>230</v>
      </c>
      <c r="F47" s="43">
        <v>0.7</v>
      </c>
      <c r="G47" s="44">
        <v>50</v>
      </c>
      <c r="H47" s="45">
        <v>3.5000000000000003E-2</v>
      </c>
      <c r="I47" s="48">
        <f t="shared" si="0"/>
        <v>571.42857142857144</v>
      </c>
      <c r="J47" s="50">
        <v>0.1</v>
      </c>
      <c r="K47" s="39" t="s">
        <v>353</v>
      </c>
    </row>
    <row r="48" spans="1:11" ht="21" x14ac:dyDescent="0.25">
      <c r="A48" s="29">
        <v>47</v>
      </c>
      <c r="B48" s="31" t="s">
        <v>316</v>
      </c>
      <c r="C48" s="31" t="s">
        <v>343</v>
      </c>
      <c r="D48" s="11">
        <v>1</v>
      </c>
      <c r="E48" s="36" t="s">
        <v>227</v>
      </c>
      <c r="F48" s="43">
        <v>37.5</v>
      </c>
      <c r="G48" s="44">
        <v>50</v>
      </c>
      <c r="H48" s="45">
        <v>1.875</v>
      </c>
      <c r="I48" s="48">
        <f t="shared" si="0"/>
        <v>10.666666666666666</v>
      </c>
      <c r="J48" s="50">
        <v>10.666666666666666</v>
      </c>
      <c r="K48" s="39" t="s">
        <v>352</v>
      </c>
    </row>
    <row r="49" spans="1:11" ht="21" x14ac:dyDescent="0.25">
      <c r="A49" s="29">
        <v>48</v>
      </c>
      <c r="B49" s="31" t="s">
        <v>302</v>
      </c>
      <c r="C49" s="31" t="s">
        <v>343</v>
      </c>
      <c r="D49" s="11">
        <v>2</v>
      </c>
      <c r="E49" s="36" t="s">
        <v>226</v>
      </c>
      <c r="F49" s="43">
        <v>28.6</v>
      </c>
      <c r="G49" s="44">
        <v>50</v>
      </c>
      <c r="H49" s="46">
        <v>1.43</v>
      </c>
      <c r="I49" s="48">
        <f t="shared" si="0"/>
        <v>13.986013986013985</v>
      </c>
      <c r="J49" s="50">
        <v>13.986013986013985</v>
      </c>
      <c r="K49" s="39" t="s">
        <v>352</v>
      </c>
    </row>
    <row r="50" spans="1:11" ht="21" x14ac:dyDescent="0.25">
      <c r="A50" s="29">
        <v>49</v>
      </c>
      <c r="B50" s="31" t="s">
        <v>293</v>
      </c>
      <c r="C50" s="31" t="s">
        <v>343</v>
      </c>
      <c r="D50" s="11">
        <v>3</v>
      </c>
      <c r="E50" s="36" t="s">
        <v>225</v>
      </c>
      <c r="F50" s="43">
        <v>21.5</v>
      </c>
      <c r="G50" s="44">
        <v>50</v>
      </c>
      <c r="H50" s="45">
        <v>1.075</v>
      </c>
      <c r="I50" s="48">
        <f t="shared" si="0"/>
        <v>18.604651162790699</v>
      </c>
      <c r="J50" s="50">
        <v>18.604651162790699</v>
      </c>
      <c r="K50" s="39" t="s">
        <v>352</v>
      </c>
    </row>
    <row r="51" spans="1:11" ht="21" x14ac:dyDescent="0.25">
      <c r="A51" s="29">
        <v>50</v>
      </c>
      <c r="B51" s="31" t="s">
        <v>281</v>
      </c>
      <c r="C51" s="31" t="s">
        <v>343</v>
      </c>
      <c r="D51" s="11">
        <v>4</v>
      </c>
      <c r="E51" s="36" t="s">
        <v>224</v>
      </c>
      <c r="F51" s="43">
        <v>17</v>
      </c>
      <c r="G51" s="44">
        <v>50</v>
      </c>
      <c r="H51" s="46">
        <v>0.85</v>
      </c>
      <c r="I51" s="48">
        <f t="shared" si="0"/>
        <v>23.529411764705884</v>
      </c>
      <c r="J51" s="50">
        <v>23.529411764705884</v>
      </c>
      <c r="K51" s="39" t="s">
        <v>352</v>
      </c>
    </row>
    <row r="52" spans="1:11" ht="21" x14ac:dyDescent="0.25">
      <c r="A52" s="29">
        <v>51</v>
      </c>
      <c r="B52" s="31" t="s">
        <v>265</v>
      </c>
      <c r="C52" s="31" t="s">
        <v>343</v>
      </c>
      <c r="D52" s="11">
        <v>5</v>
      </c>
      <c r="E52" s="36" t="s">
        <v>223</v>
      </c>
      <c r="F52" s="43">
        <v>26.1</v>
      </c>
      <c r="G52" s="44">
        <v>50</v>
      </c>
      <c r="H52" s="45">
        <v>1.3049999999999999</v>
      </c>
      <c r="I52" s="48">
        <f t="shared" si="0"/>
        <v>15.325670498084291</v>
      </c>
      <c r="J52" s="50">
        <v>15.325670498084291</v>
      </c>
      <c r="K52" s="39" t="s">
        <v>352</v>
      </c>
    </row>
    <row r="53" spans="1:11" ht="21" x14ac:dyDescent="0.25">
      <c r="A53" s="29">
        <v>52</v>
      </c>
      <c r="B53" s="31" t="s">
        <v>254</v>
      </c>
      <c r="C53" s="31" t="s">
        <v>343</v>
      </c>
      <c r="D53" s="11">
        <v>6</v>
      </c>
      <c r="E53" s="36" t="s">
        <v>222</v>
      </c>
      <c r="F53" s="43">
        <v>21.3</v>
      </c>
      <c r="G53" s="44">
        <v>50</v>
      </c>
      <c r="H53" s="45">
        <v>1.0649999999999999</v>
      </c>
      <c r="I53" s="48">
        <f t="shared" si="0"/>
        <v>18.779342723004696</v>
      </c>
      <c r="J53" s="50">
        <v>18.779342723004696</v>
      </c>
      <c r="K53" s="39" t="s">
        <v>352</v>
      </c>
    </row>
    <row r="54" spans="1:11" ht="21" x14ac:dyDescent="0.25">
      <c r="A54" s="29">
        <v>53</v>
      </c>
      <c r="B54" s="31" t="s">
        <v>239</v>
      </c>
      <c r="C54" s="31" t="s">
        <v>343</v>
      </c>
      <c r="D54" s="11">
        <v>7</v>
      </c>
      <c r="E54" s="36" t="s">
        <v>221</v>
      </c>
      <c r="F54" s="43">
        <v>18.5</v>
      </c>
      <c r="G54" s="44">
        <v>50</v>
      </c>
      <c r="H54" s="45">
        <v>0.92500000000000004</v>
      </c>
      <c r="I54" s="48">
        <f t="shared" si="0"/>
        <v>21.621621621621621</v>
      </c>
      <c r="J54" s="50">
        <v>21.621621621621621</v>
      </c>
      <c r="K54" s="39" t="s">
        <v>352</v>
      </c>
    </row>
    <row r="55" spans="1:11" ht="21" x14ac:dyDescent="0.25">
      <c r="A55" s="29">
        <v>54</v>
      </c>
      <c r="B55" s="31" t="s">
        <v>227</v>
      </c>
      <c r="C55" s="31" t="s">
        <v>343</v>
      </c>
      <c r="D55" s="11">
        <v>8</v>
      </c>
      <c r="E55" s="36" t="s">
        <v>220</v>
      </c>
      <c r="F55" s="43">
        <v>15.6</v>
      </c>
      <c r="G55" s="44">
        <v>50</v>
      </c>
      <c r="H55" s="46">
        <v>0.78</v>
      </c>
      <c r="I55" s="48">
        <f t="shared" si="0"/>
        <v>25.641025641025642</v>
      </c>
      <c r="J55" s="50">
        <v>25.641025641025642</v>
      </c>
      <c r="K55" s="39" t="s">
        <v>352</v>
      </c>
    </row>
    <row r="56" spans="1:11" ht="21" x14ac:dyDescent="0.25">
      <c r="A56" s="29">
        <v>55</v>
      </c>
      <c r="B56" s="31" t="s">
        <v>219</v>
      </c>
      <c r="C56" s="31" t="s">
        <v>343</v>
      </c>
      <c r="D56" s="11">
        <v>9</v>
      </c>
      <c r="E56" s="36" t="s">
        <v>219</v>
      </c>
      <c r="F56" s="43">
        <v>21.6</v>
      </c>
      <c r="G56" s="44">
        <v>50</v>
      </c>
      <c r="H56" s="46">
        <v>1.08</v>
      </c>
      <c r="I56" s="48">
        <f t="shared" si="0"/>
        <v>18.518518518518519</v>
      </c>
      <c r="J56" s="50">
        <v>18.518518518518519</v>
      </c>
      <c r="K56" s="39" t="s">
        <v>352</v>
      </c>
    </row>
    <row r="57" spans="1:11" ht="21" x14ac:dyDescent="0.25">
      <c r="A57" s="29">
        <v>56</v>
      </c>
      <c r="B57" s="31" t="s">
        <v>211</v>
      </c>
      <c r="C57" s="31" t="s">
        <v>343</v>
      </c>
      <c r="D57" s="11">
        <v>10</v>
      </c>
      <c r="E57" s="36" t="s">
        <v>218</v>
      </c>
      <c r="F57" s="43">
        <v>31.1</v>
      </c>
      <c r="G57" s="44">
        <v>50</v>
      </c>
      <c r="H57" s="45">
        <v>1.5549999999999999</v>
      </c>
      <c r="I57" s="48">
        <f t="shared" si="0"/>
        <v>12.861736334405144</v>
      </c>
      <c r="J57" s="50">
        <v>12.861736334405144</v>
      </c>
      <c r="K57" s="39" t="s">
        <v>352</v>
      </c>
    </row>
    <row r="58" spans="1:11" ht="21" x14ac:dyDescent="0.25">
      <c r="A58" s="29">
        <v>57</v>
      </c>
      <c r="B58" s="31" t="s">
        <v>201</v>
      </c>
      <c r="C58" s="31" t="s">
        <v>343</v>
      </c>
      <c r="D58" s="11">
        <v>11</v>
      </c>
      <c r="E58" s="36" t="s">
        <v>217</v>
      </c>
      <c r="F58" s="43">
        <v>46</v>
      </c>
      <c r="G58" s="44">
        <v>50</v>
      </c>
      <c r="H58" s="47">
        <v>2.2999999999999998</v>
      </c>
      <c r="I58" s="48">
        <f t="shared" si="0"/>
        <v>8.695652173913043</v>
      </c>
      <c r="J58" s="50">
        <v>8.695652173913043</v>
      </c>
      <c r="K58" s="39" t="s">
        <v>352</v>
      </c>
    </row>
    <row r="59" spans="1:11" ht="21" x14ac:dyDescent="0.25">
      <c r="A59" s="29">
        <v>58</v>
      </c>
      <c r="B59" s="31" t="s">
        <v>185</v>
      </c>
      <c r="C59" s="31" t="s">
        <v>343</v>
      </c>
      <c r="D59" s="11">
        <v>12</v>
      </c>
      <c r="E59" s="36" t="s">
        <v>216</v>
      </c>
      <c r="F59" s="43">
        <v>21.6</v>
      </c>
      <c r="G59" s="44">
        <v>50</v>
      </c>
      <c r="H59" s="46">
        <v>1.08</v>
      </c>
      <c r="I59" s="48">
        <f t="shared" si="0"/>
        <v>18.518518518518519</v>
      </c>
      <c r="J59" s="50">
        <v>18.518518518518519</v>
      </c>
      <c r="K59" s="39" t="s">
        <v>352</v>
      </c>
    </row>
    <row r="60" spans="1:11" ht="21" x14ac:dyDescent="0.25">
      <c r="A60" s="29">
        <v>59</v>
      </c>
      <c r="B60" s="31" t="s">
        <v>169</v>
      </c>
      <c r="C60" s="31" t="s">
        <v>343</v>
      </c>
      <c r="D60" s="11">
        <v>13</v>
      </c>
      <c r="E60" s="36" t="s">
        <v>215</v>
      </c>
      <c r="F60" s="43">
        <v>29.6</v>
      </c>
      <c r="G60" s="44">
        <v>50</v>
      </c>
      <c r="H60" s="46">
        <v>1.48</v>
      </c>
      <c r="I60" s="48">
        <f t="shared" si="0"/>
        <v>13.513513513513512</v>
      </c>
      <c r="J60" s="50">
        <v>13.513513513513512</v>
      </c>
      <c r="K60" s="39" t="s">
        <v>352</v>
      </c>
    </row>
    <row r="61" spans="1:11" ht="21" x14ac:dyDescent="0.25">
      <c r="A61" s="29">
        <v>60</v>
      </c>
      <c r="B61" s="31" t="s">
        <v>317</v>
      </c>
      <c r="C61" s="31" t="s">
        <v>343</v>
      </c>
      <c r="D61" s="11">
        <v>14</v>
      </c>
      <c r="E61" s="36" t="s">
        <v>214</v>
      </c>
      <c r="F61" s="43">
        <v>26.7</v>
      </c>
      <c r="G61" s="44">
        <v>50</v>
      </c>
      <c r="H61" s="45">
        <v>1.335</v>
      </c>
      <c r="I61" s="48">
        <f t="shared" si="0"/>
        <v>14.981273408239701</v>
      </c>
      <c r="J61" s="50">
        <v>14.981273408239701</v>
      </c>
      <c r="K61" s="39" t="s">
        <v>352</v>
      </c>
    </row>
    <row r="62" spans="1:11" ht="21" x14ac:dyDescent="0.25">
      <c r="A62" s="29">
        <v>61</v>
      </c>
      <c r="B62" s="31" t="s">
        <v>318</v>
      </c>
      <c r="C62" s="31" t="s">
        <v>343</v>
      </c>
      <c r="D62" s="11">
        <v>15</v>
      </c>
      <c r="E62" s="36" t="s">
        <v>213</v>
      </c>
      <c r="F62" s="43">
        <v>19.100000000000001</v>
      </c>
      <c r="G62" s="44">
        <v>50</v>
      </c>
      <c r="H62" s="45">
        <v>0.95499999999999996</v>
      </c>
      <c r="I62" s="48">
        <f t="shared" si="0"/>
        <v>20.94240837696335</v>
      </c>
      <c r="J62" s="50">
        <v>20.94240837696335</v>
      </c>
      <c r="K62" s="39" t="s">
        <v>352</v>
      </c>
    </row>
    <row r="63" spans="1:11" ht="21" x14ac:dyDescent="0.25">
      <c r="A63" s="29">
        <v>62</v>
      </c>
      <c r="B63" s="31" t="s">
        <v>319</v>
      </c>
      <c r="C63" s="31" t="s">
        <v>343</v>
      </c>
      <c r="D63" s="11">
        <v>16</v>
      </c>
      <c r="E63" s="36" t="s">
        <v>212</v>
      </c>
      <c r="F63" s="43">
        <v>15.9</v>
      </c>
      <c r="G63" s="44">
        <v>50</v>
      </c>
      <c r="H63" s="45">
        <v>0.79500000000000004</v>
      </c>
      <c r="I63" s="48">
        <f t="shared" si="0"/>
        <v>25.157232704402514</v>
      </c>
      <c r="J63" s="50">
        <v>25.157232704402514</v>
      </c>
      <c r="K63" s="39" t="s">
        <v>352</v>
      </c>
    </row>
    <row r="64" spans="1:11" ht="21" x14ac:dyDescent="0.25">
      <c r="A64" s="29">
        <v>63</v>
      </c>
      <c r="B64" s="31" t="s">
        <v>320</v>
      </c>
      <c r="C64" s="31" t="s">
        <v>343</v>
      </c>
      <c r="D64" s="11">
        <v>17</v>
      </c>
      <c r="E64" s="36" t="s">
        <v>211</v>
      </c>
      <c r="F64" s="43">
        <v>12.3</v>
      </c>
      <c r="G64" s="44">
        <v>50</v>
      </c>
      <c r="H64" s="45">
        <v>0.61499999999999999</v>
      </c>
      <c r="I64" s="48">
        <f t="shared" si="0"/>
        <v>32.520325203252028</v>
      </c>
      <c r="J64" s="50">
        <v>32.520325203252028</v>
      </c>
      <c r="K64" s="39" t="s">
        <v>352</v>
      </c>
    </row>
    <row r="65" spans="1:11" ht="21" x14ac:dyDescent="0.25">
      <c r="A65" s="29">
        <v>64</v>
      </c>
      <c r="B65" s="31" t="s">
        <v>321</v>
      </c>
      <c r="C65" s="31" t="s">
        <v>343</v>
      </c>
      <c r="D65" s="11">
        <v>18</v>
      </c>
      <c r="E65" s="36" t="s">
        <v>210</v>
      </c>
      <c r="F65" s="43">
        <v>22.3</v>
      </c>
      <c r="G65" s="44">
        <v>50</v>
      </c>
      <c r="H65" s="45">
        <v>1.115</v>
      </c>
      <c r="I65" s="48">
        <f t="shared" si="0"/>
        <v>17.937219730941703</v>
      </c>
      <c r="J65" s="50">
        <v>17.937219730941703</v>
      </c>
      <c r="K65" s="39" t="s">
        <v>352</v>
      </c>
    </row>
    <row r="66" spans="1:11" ht="21" x14ac:dyDescent="0.25">
      <c r="A66" s="29">
        <v>65</v>
      </c>
      <c r="B66" s="31" t="s">
        <v>322</v>
      </c>
      <c r="C66" s="31" t="s">
        <v>343</v>
      </c>
      <c r="D66" s="11">
        <v>19</v>
      </c>
      <c r="E66" s="36" t="s">
        <v>209</v>
      </c>
      <c r="F66" s="43">
        <v>11.3</v>
      </c>
      <c r="G66" s="44">
        <v>50</v>
      </c>
      <c r="H66" s="45">
        <v>0.56499999999999995</v>
      </c>
      <c r="I66" s="48">
        <f t="shared" si="0"/>
        <v>35.398230088495573</v>
      </c>
      <c r="J66" s="50">
        <v>0.1</v>
      </c>
      <c r="K66" s="39" t="s">
        <v>352</v>
      </c>
    </row>
    <row r="67" spans="1:11" ht="21" x14ac:dyDescent="0.25">
      <c r="A67" s="29">
        <v>66</v>
      </c>
      <c r="B67" s="31" t="s">
        <v>323</v>
      </c>
      <c r="C67" s="31" t="s">
        <v>343</v>
      </c>
      <c r="D67" s="11">
        <v>20</v>
      </c>
      <c r="E67" s="36" t="s">
        <v>208</v>
      </c>
      <c r="F67" s="43">
        <v>21.6</v>
      </c>
      <c r="G67" s="44">
        <v>50</v>
      </c>
      <c r="H67" s="46">
        <v>1.08</v>
      </c>
      <c r="I67" s="48">
        <f t="shared" ref="I67:I93" si="1">400/F67</f>
        <v>18.518518518518519</v>
      </c>
      <c r="J67" s="50">
        <v>18.518518518518519</v>
      </c>
      <c r="K67" s="39" t="s">
        <v>352</v>
      </c>
    </row>
    <row r="68" spans="1:11" ht="21" x14ac:dyDescent="0.25">
      <c r="A68" s="29">
        <v>67</v>
      </c>
      <c r="B68" s="31" t="s">
        <v>324</v>
      </c>
      <c r="C68" s="31" t="s">
        <v>343</v>
      </c>
      <c r="D68" s="11">
        <v>21</v>
      </c>
      <c r="E68" s="36" t="s">
        <v>207</v>
      </c>
      <c r="F68" s="43">
        <v>25.2</v>
      </c>
      <c r="G68" s="44">
        <v>50</v>
      </c>
      <c r="H68" s="46">
        <v>1.26</v>
      </c>
      <c r="I68" s="48">
        <f t="shared" si="1"/>
        <v>15.873015873015873</v>
      </c>
      <c r="J68" s="50">
        <v>15.873015873015873</v>
      </c>
      <c r="K68" s="39" t="s">
        <v>352</v>
      </c>
    </row>
    <row r="69" spans="1:11" ht="21" x14ac:dyDescent="0.25">
      <c r="A69" s="29">
        <v>68</v>
      </c>
      <c r="B69" s="31" t="s">
        <v>325</v>
      </c>
      <c r="C69" s="31" t="s">
        <v>343</v>
      </c>
      <c r="D69" s="11">
        <v>22</v>
      </c>
      <c r="E69" s="36" t="s">
        <v>206</v>
      </c>
      <c r="F69" s="43">
        <v>23.7</v>
      </c>
      <c r="G69" s="44">
        <v>50</v>
      </c>
      <c r="H69" s="45">
        <v>1.1850000000000001</v>
      </c>
      <c r="I69" s="48">
        <f t="shared" si="1"/>
        <v>16.877637130801688</v>
      </c>
      <c r="J69" s="50">
        <v>16.877637130801688</v>
      </c>
      <c r="K69" s="39" t="s">
        <v>352</v>
      </c>
    </row>
    <row r="70" spans="1:11" ht="21" x14ac:dyDescent="0.25">
      <c r="A70" s="29">
        <v>69</v>
      </c>
      <c r="B70" s="31" t="s">
        <v>326</v>
      </c>
      <c r="C70" s="31" t="s">
        <v>343</v>
      </c>
      <c r="D70" s="11">
        <v>1</v>
      </c>
      <c r="E70" s="36" t="s">
        <v>205</v>
      </c>
      <c r="F70" s="43">
        <v>44.8</v>
      </c>
      <c r="G70" s="44">
        <v>50</v>
      </c>
      <c r="H70" s="46">
        <v>2.2400000000000002</v>
      </c>
      <c r="I70" s="48">
        <f t="shared" si="1"/>
        <v>8.9285714285714288</v>
      </c>
      <c r="J70" s="50">
        <v>8.9285714285714288</v>
      </c>
      <c r="K70" s="39" t="s">
        <v>354</v>
      </c>
    </row>
    <row r="71" spans="1:11" ht="21" x14ac:dyDescent="0.25">
      <c r="A71" s="29">
        <v>70</v>
      </c>
      <c r="B71" s="31" t="s">
        <v>327</v>
      </c>
      <c r="C71" s="31" t="s">
        <v>343</v>
      </c>
      <c r="D71" s="11">
        <v>2</v>
      </c>
      <c r="E71" s="36" t="s">
        <v>203</v>
      </c>
      <c r="F71" s="43">
        <v>44.9</v>
      </c>
      <c r="G71" s="44">
        <v>50</v>
      </c>
      <c r="H71" s="45">
        <v>2.2450000000000001</v>
      </c>
      <c r="I71" s="48">
        <f t="shared" si="1"/>
        <v>8.908685968819599</v>
      </c>
      <c r="J71" s="50">
        <v>8.908685968819599</v>
      </c>
      <c r="K71" s="39" t="s">
        <v>354</v>
      </c>
    </row>
    <row r="72" spans="1:11" ht="21" x14ac:dyDescent="0.25">
      <c r="A72" s="29">
        <v>71</v>
      </c>
      <c r="B72" s="31" t="s">
        <v>296</v>
      </c>
      <c r="C72" s="31" t="s">
        <v>343</v>
      </c>
      <c r="D72" s="11">
        <v>3</v>
      </c>
      <c r="E72" s="36" t="s">
        <v>201</v>
      </c>
      <c r="F72" s="43">
        <v>40.9</v>
      </c>
      <c r="G72" s="44">
        <v>50</v>
      </c>
      <c r="H72" s="45">
        <v>2.0449999999999999</v>
      </c>
      <c r="I72" s="48">
        <f t="shared" si="1"/>
        <v>9.7799511002444994</v>
      </c>
      <c r="J72" s="50">
        <v>9.7799511002444994</v>
      </c>
      <c r="K72" s="39" t="s">
        <v>354</v>
      </c>
    </row>
    <row r="73" spans="1:11" ht="21" x14ac:dyDescent="0.25">
      <c r="A73" s="29">
        <v>72</v>
      </c>
      <c r="B73" s="31" t="s">
        <v>284</v>
      </c>
      <c r="C73" s="31" t="s">
        <v>343</v>
      </c>
      <c r="D73" s="11">
        <v>4</v>
      </c>
      <c r="E73" s="36" t="s">
        <v>199</v>
      </c>
      <c r="F73" s="43">
        <v>28.1</v>
      </c>
      <c r="G73" s="44">
        <v>50</v>
      </c>
      <c r="H73" s="45">
        <v>1.405</v>
      </c>
      <c r="I73" s="48">
        <f t="shared" si="1"/>
        <v>14.234875444839856</v>
      </c>
      <c r="J73" s="50">
        <v>14.234875444839856</v>
      </c>
      <c r="K73" s="39" t="s">
        <v>354</v>
      </c>
    </row>
    <row r="74" spans="1:11" ht="21" x14ac:dyDescent="0.25">
      <c r="A74" s="29">
        <v>73</v>
      </c>
      <c r="B74" s="31" t="s">
        <v>269</v>
      </c>
      <c r="C74" s="31" t="s">
        <v>343</v>
      </c>
      <c r="D74" s="11">
        <v>5</v>
      </c>
      <c r="E74" s="36" t="s">
        <v>197</v>
      </c>
      <c r="F74" s="43">
        <v>50.3</v>
      </c>
      <c r="G74" s="44">
        <v>50</v>
      </c>
      <c r="H74" s="45">
        <v>2.5150000000000001</v>
      </c>
      <c r="I74" s="48">
        <f t="shared" si="1"/>
        <v>7.9522862823061633</v>
      </c>
      <c r="J74" s="50">
        <v>7.9522862823061633</v>
      </c>
      <c r="K74" s="39" t="s">
        <v>354</v>
      </c>
    </row>
    <row r="75" spans="1:11" ht="21" x14ac:dyDescent="0.25">
      <c r="A75" s="29">
        <v>74</v>
      </c>
      <c r="B75" s="31" t="s">
        <v>258</v>
      </c>
      <c r="C75" s="31" t="s">
        <v>343</v>
      </c>
      <c r="D75" s="11">
        <v>6</v>
      </c>
      <c r="E75" s="36" t="s">
        <v>195</v>
      </c>
      <c r="F75" s="43">
        <v>44.3</v>
      </c>
      <c r="G75" s="44">
        <v>50</v>
      </c>
      <c r="H75" s="45">
        <v>2.2149999999999999</v>
      </c>
      <c r="I75" s="48">
        <f t="shared" si="1"/>
        <v>9.0293453724604973</v>
      </c>
      <c r="J75" s="50">
        <v>9.0293453724604973</v>
      </c>
      <c r="K75" s="39" t="s">
        <v>354</v>
      </c>
    </row>
    <row r="76" spans="1:11" ht="21" x14ac:dyDescent="0.25">
      <c r="A76" s="29">
        <v>75</v>
      </c>
      <c r="B76" s="31" t="s">
        <v>246</v>
      </c>
      <c r="C76" s="31" t="s">
        <v>343</v>
      </c>
      <c r="D76" s="11">
        <v>7</v>
      </c>
      <c r="E76" s="36" t="s">
        <v>193</v>
      </c>
      <c r="F76" s="43">
        <v>29.4</v>
      </c>
      <c r="G76" s="44">
        <v>50</v>
      </c>
      <c r="H76" s="46">
        <v>1.47</v>
      </c>
      <c r="I76" s="48">
        <f t="shared" si="1"/>
        <v>13.605442176870749</v>
      </c>
      <c r="J76" s="50">
        <v>13.605442176870749</v>
      </c>
      <c r="K76" s="39" t="s">
        <v>354</v>
      </c>
    </row>
    <row r="77" spans="1:11" ht="21" x14ac:dyDescent="0.25">
      <c r="A77" s="29">
        <v>76</v>
      </c>
      <c r="B77" s="31" t="s">
        <v>328</v>
      </c>
      <c r="C77" s="31" t="s">
        <v>343</v>
      </c>
      <c r="D77" s="11">
        <v>8</v>
      </c>
      <c r="E77" s="36" t="s">
        <v>191</v>
      </c>
      <c r="F77" s="43">
        <v>43.4</v>
      </c>
      <c r="G77" s="44">
        <v>50</v>
      </c>
      <c r="H77" s="46">
        <v>2.17</v>
      </c>
      <c r="I77" s="48">
        <f t="shared" si="1"/>
        <v>9.216589861751153</v>
      </c>
      <c r="J77" s="50">
        <v>9.216589861751153</v>
      </c>
      <c r="K77" s="39" t="s">
        <v>354</v>
      </c>
    </row>
    <row r="78" spans="1:11" ht="21" x14ac:dyDescent="0.25">
      <c r="A78" s="29">
        <v>77</v>
      </c>
      <c r="B78" s="31" t="s">
        <v>329</v>
      </c>
      <c r="C78" s="31" t="s">
        <v>343</v>
      </c>
      <c r="D78" s="11">
        <v>9</v>
      </c>
      <c r="E78" s="36" t="s">
        <v>189</v>
      </c>
      <c r="F78" s="43">
        <v>30.7</v>
      </c>
      <c r="G78" s="44">
        <v>50</v>
      </c>
      <c r="H78" s="45">
        <v>1.5349999999999999</v>
      </c>
      <c r="I78" s="48">
        <f t="shared" si="1"/>
        <v>13.029315960912053</v>
      </c>
      <c r="J78" s="50">
        <v>13.029315960912053</v>
      </c>
      <c r="K78" s="39" t="s">
        <v>354</v>
      </c>
    </row>
    <row r="79" spans="1:11" ht="21" x14ac:dyDescent="0.25">
      <c r="A79" s="29">
        <v>78</v>
      </c>
      <c r="B79" s="31" t="s">
        <v>330</v>
      </c>
      <c r="C79" s="31" t="s">
        <v>343</v>
      </c>
      <c r="D79" s="11">
        <v>10</v>
      </c>
      <c r="E79" s="36" t="s">
        <v>187</v>
      </c>
      <c r="F79" s="43">
        <v>38.4</v>
      </c>
      <c r="G79" s="44">
        <v>50</v>
      </c>
      <c r="H79" s="46">
        <v>1.92</v>
      </c>
      <c r="I79" s="48">
        <f t="shared" si="1"/>
        <v>10.416666666666668</v>
      </c>
      <c r="J79" s="50">
        <v>10.416666666666668</v>
      </c>
      <c r="K79" s="39" t="s">
        <v>354</v>
      </c>
    </row>
    <row r="80" spans="1:11" ht="21" x14ac:dyDescent="0.25">
      <c r="A80" s="29">
        <v>79</v>
      </c>
      <c r="B80" s="31" t="s">
        <v>184</v>
      </c>
      <c r="C80" s="31" t="s">
        <v>343</v>
      </c>
      <c r="D80" s="11">
        <v>11</v>
      </c>
      <c r="E80" s="36" t="s">
        <v>185</v>
      </c>
      <c r="F80" s="43">
        <v>33.4</v>
      </c>
      <c r="G80" s="44">
        <v>50</v>
      </c>
      <c r="H80" s="46">
        <v>1.67</v>
      </c>
      <c r="I80" s="48">
        <f t="shared" si="1"/>
        <v>11.976047904191617</v>
      </c>
      <c r="J80" s="50">
        <v>11.976047904191617</v>
      </c>
      <c r="K80" s="39" t="s">
        <v>354</v>
      </c>
    </row>
    <row r="81" spans="1:11" ht="21" x14ac:dyDescent="0.25">
      <c r="A81" s="29">
        <v>80</v>
      </c>
      <c r="B81" s="31" t="s">
        <v>182</v>
      </c>
      <c r="C81" s="31" t="s">
        <v>343</v>
      </c>
      <c r="D81" s="11">
        <v>12</v>
      </c>
      <c r="E81" s="36" t="s">
        <v>183</v>
      </c>
      <c r="F81" s="43">
        <v>37</v>
      </c>
      <c r="G81" s="44">
        <v>50</v>
      </c>
      <c r="H81" s="46">
        <v>1.85</v>
      </c>
      <c r="I81" s="48">
        <f t="shared" si="1"/>
        <v>10.810810810810811</v>
      </c>
      <c r="J81" s="50">
        <v>10.810810810810811</v>
      </c>
      <c r="K81" s="39" t="s">
        <v>354</v>
      </c>
    </row>
    <row r="82" spans="1:11" ht="21" x14ac:dyDescent="0.25">
      <c r="A82" s="29">
        <v>81</v>
      </c>
      <c r="B82" s="31" t="s">
        <v>180</v>
      </c>
      <c r="C82" s="31" t="s">
        <v>343</v>
      </c>
      <c r="D82" s="11">
        <v>13</v>
      </c>
      <c r="E82" s="36" t="s">
        <v>181</v>
      </c>
      <c r="F82" s="43">
        <v>25.7</v>
      </c>
      <c r="G82" s="44">
        <v>50</v>
      </c>
      <c r="H82" s="45">
        <v>1.2849999999999999</v>
      </c>
      <c r="I82" s="48">
        <f t="shared" si="1"/>
        <v>15.56420233463035</v>
      </c>
      <c r="J82" s="50">
        <v>15.56420233463035</v>
      </c>
      <c r="K82" s="39" t="s">
        <v>354</v>
      </c>
    </row>
    <row r="83" spans="1:11" ht="21" x14ac:dyDescent="0.25">
      <c r="A83" s="29">
        <v>82</v>
      </c>
      <c r="B83" s="31" t="s">
        <v>178</v>
      </c>
      <c r="C83" s="31" t="s">
        <v>343</v>
      </c>
      <c r="D83" s="11">
        <v>14</v>
      </c>
      <c r="E83" s="36" t="s">
        <v>179</v>
      </c>
      <c r="F83" s="43">
        <v>23.4</v>
      </c>
      <c r="G83" s="44">
        <v>50</v>
      </c>
      <c r="H83" s="46">
        <v>1.17</v>
      </c>
      <c r="I83" s="48">
        <f t="shared" si="1"/>
        <v>17.094017094017094</v>
      </c>
      <c r="J83" s="50">
        <v>17.094017094017094</v>
      </c>
      <c r="K83" s="39" t="s">
        <v>354</v>
      </c>
    </row>
    <row r="84" spans="1:11" ht="21" x14ac:dyDescent="0.25">
      <c r="A84" s="29">
        <v>83</v>
      </c>
      <c r="B84" s="31" t="s">
        <v>176</v>
      </c>
      <c r="C84" s="31" t="s">
        <v>343</v>
      </c>
      <c r="D84" s="11">
        <v>15</v>
      </c>
      <c r="E84" s="36" t="s">
        <v>177</v>
      </c>
      <c r="F84" s="43">
        <v>26.9</v>
      </c>
      <c r="G84" s="44">
        <v>50</v>
      </c>
      <c r="H84" s="45">
        <v>1.345</v>
      </c>
      <c r="I84" s="48">
        <f t="shared" si="1"/>
        <v>14.869888475836431</v>
      </c>
      <c r="J84" s="50">
        <v>14.869888475836431</v>
      </c>
      <c r="K84" s="39" t="s">
        <v>354</v>
      </c>
    </row>
    <row r="85" spans="1:11" ht="21" x14ac:dyDescent="0.25">
      <c r="A85" s="29">
        <v>84</v>
      </c>
      <c r="B85" s="31" t="s">
        <v>174</v>
      </c>
      <c r="C85" s="31" t="s">
        <v>343</v>
      </c>
      <c r="D85" s="11">
        <v>16</v>
      </c>
      <c r="E85" s="36" t="s">
        <v>175</v>
      </c>
      <c r="F85" s="43">
        <v>14.9</v>
      </c>
      <c r="G85" s="44">
        <v>50</v>
      </c>
      <c r="H85" s="45">
        <v>0.745</v>
      </c>
      <c r="I85" s="48">
        <f t="shared" si="1"/>
        <v>26.845637583892618</v>
      </c>
      <c r="J85" s="50">
        <v>26.845637583892618</v>
      </c>
      <c r="K85" s="39" t="s">
        <v>354</v>
      </c>
    </row>
    <row r="86" spans="1:11" ht="21" x14ac:dyDescent="0.25">
      <c r="A86" s="29">
        <v>85</v>
      </c>
      <c r="B86" s="31" t="s">
        <v>172</v>
      </c>
      <c r="C86" s="31" t="s">
        <v>343</v>
      </c>
      <c r="D86" s="11">
        <v>17</v>
      </c>
      <c r="E86" s="36" t="s">
        <v>173</v>
      </c>
      <c r="F86" s="43">
        <v>23.7</v>
      </c>
      <c r="G86" s="44">
        <v>50</v>
      </c>
      <c r="H86" s="45">
        <v>1.1850000000000001</v>
      </c>
      <c r="I86" s="48">
        <f t="shared" si="1"/>
        <v>16.877637130801688</v>
      </c>
      <c r="J86" s="50">
        <v>16.877637130801688</v>
      </c>
      <c r="K86" s="39" t="s">
        <v>354</v>
      </c>
    </row>
    <row r="87" spans="1:11" ht="21" x14ac:dyDescent="0.25">
      <c r="A87" s="29">
        <v>86</v>
      </c>
      <c r="B87" s="31" t="s">
        <v>170</v>
      </c>
      <c r="C87" s="31" t="s">
        <v>343</v>
      </c>
      <c r="D87" s="11">
        <v>18</v>
      </c>
      <c r="E87" s="36" t="s">
        <v>171</v>
      </c>
      <c r="F87" s="43">
        <v>20.9</v>
      </c>
      <c r="G87" s="44">
        <v>50</v>
      </c>
      <c r="H87" s="45">
        <v>1.0449999999999999</v>
      </c>
      <c r="I87" s="48">
        <f t="shared" si="1"/>
        <v>19.138755980861244</v>
      </c>
      <c r="J87" s="50">
        <v>19.138755980861244</v>
      </c>
      <c r="K87" s="39" t="s">
        <v>354</v>
      </c>
    </row>
    <row r="88" spans="1:11" ht="21" x14ac:dyDescent="0.25">
      <c r="A88" s="29">
        <v>87</v>
      </c>
      <c r="B88" s="31" t="s">
        <v>168</v>
      </c>
      <c r="C88" s="31" t="s">
        <v>343</v>
      </c>
      <c r="D88" s="11">
        <v>19</v>
      </c>
      <c r="E88" s="36" t="s">
        <v>169</v>
      </c>
      <c r="F88" s="43">
        <v>17.899999999999999</v>
      </c>
      <c r="G88" s="44">
        <v>50</v>
      </c>
      <c r="H88" s="45">
        <v>0.89500000000000002</v>
      </c>
      <c r="I88" s="48">
        <f t="shared" si="1"/>
        <v>22.346368715083802</v>
      </c>
      <c r="J88" s="50">
        <v>22.346368715083802</v>
      </c>
      <c r="K88" s="39" t="s">
        <v>354</v>
      </c>
    </row>
    <row r="89" spans="1:11" ht="21" x14ac:dyDescent="0.25">
      <c r="A89" s="29">
        <v>88</v>
      </c>
      <c r="B89" s="31" t="s">
        <v>166</v>
      </c>
      <c r="C89" s="31" t="s">
        <v>343</v>
      </c>
      <c r="D89" s="11">
        <v>20</v>
      </c>
      <c r="E89" s="36" t="s">
        <v>167</v>
      </c>
      <c r="F89" s="43">
        <v>20.6</v>
      </c>
      <c r="G89" s="44">
        <v>50</v>
      </c>
      <c r="H89" s="46">
        <v>1.03</v>
      </c>
      <c r="I89" s="48">
        <f t="shared" si="1"/>
        <v>19.417475728155338</v>
      </c>
      <c r="J89" s="50">
        <v>19.417475728155338</v>
      </c>
      <c r="K89" s="39" t="s">
        <v>354</v>
      </c>
    </row>
    <row r="90" spans="1:11" ht="21" x14ac:dyDescent="0.25">
      <c r="A90" s="29">
        <v>89</v>
      </c>
      <c r="B90" s="31" t="s">
        <v>331</v>
      </c>
      <c r="C90" s="31" t="s">
        <v>343</v>
      </c>
      <c r="D90" s="11">
        <v>21</v>
      </c>
      <c r="E90" s="36" t="s">
        <v>165</v>
      </c>
      <c r="F90" s="43">
        <v>22.4</v>
      </c>
      <c r="G90" s="44">
        <v>50</v>
      </c>
      <c r="H90" s="46">
        <v>1.1200000000000001</v>
      </c>
      <c r="I90" s="48">
        <f t="shared" si="1"/>
        <v>17.857142857142858</v>
      </c>
      <c r="J90" s="50">
        <v>17.857142857142858</v>
      </c>
      <c r="K90" s="39" t="s">
        <v>354</v>
      </c>
    </row>
    <row r="91" spans="1:11" ht="21" x14ac:dyDescent="0.25">
      <c r="A91" s="29">
        <v>90</v>
      </c>
      <c r="B91" s="31" t="s">
        <v>332</v>
      </c>
      <c r="C91" s="31" t="s">
        <v>343</v>
      </c>
      <c r="D91" s="12">
        <v>22</v>
      </c>
      <c r="E91" s="36" t="s">
        <v>164</v>
      </c>
      <c r="F91" s="43">
        <v>20</v>
      </c>
      <c r="G91" s="44">
        <v>50</v>
      </c>
      <c r="H91" s="47">
        <v>1</v>
      </c>
      <c r="I91" s="48">
        <f t="shared" si="1"/>
        <v>20</v>
      </c>
      <c r="J91" s="50">
        <v>20</v>
      </c>
      <c r="K91" s="39" t="s">
        <v>354</v>
      </c>
    </row>
    <row r="92" spans="1:11" ht="21" x14ac:dyDescent="0.25">
      <c r="A92" s="29">
        <v>91</v>
      </c>
      <c r="B92" s="31" t="s">
        <v>336</v>
      </c>
      <c r="C92" s="31" t="s">
        <v>343</v>
      </c>
      <c r="D92" s="12">
        <v>22</v>
      </c>
      <c r="E92" s="36" t="s">
        <v>161</v>
      </c>
      <c r="F92" s="43">
        <v>10.199999999999999</v>
      </c>
      <c r="G92" s="44">
        <v>50</v>
      </c>
      <c r="H92" s="46">
        <v>0.51</v>
      </c>
      <c r="I92" s="48">
        <f t="shared" si="1"/>
        <v>39.215686274509807</v>
      </c>
      <c r="J92" s="50">
        <v>39.215686274509807</v>
      </c>
      <c r="K92" s="39" t="s">
        <v>355</v>
      </c>
    </row>
    <row r="93" spans="1:11" ht="21" x14ac:dyDescent="0.25">
      <c r="A93" s="29">
        <v>92</v>
      </c>
      <c r="B93" s="32" t="s">
        <v>337</v>
      </c>
      <c r="C93" s="31" t="s">
        <v>343</v>
      </c>
      <c r="D93" s="12">
        <v>22</v>
      </c>
      <c r="E93" s="38" t="s">
        <v>160</v>
      </c>
      <c r="F93" s="43">
        <v>6.7</v>
      </c>
      <c r="G93" s="44">
        <v>50</v>
      </c>
      <c r="H93" s="45">
        <v>0.33500000000000002</v>
      </c>
      <c r="I93" s="48">
        <f t="shared" si="1"/>
        <v>59.701492537313435</v>
      </c>
      <c r="J93" s="50">
        <v>0.1</v>
      </c>
      <c r="K93" s="39" t="s">
        <v>355</v>
      </c>
    </row>
  </sheetData>
  <autoFilter ref="A1:K93" xr:uid="{790DB737-DA30-4F65-9BEF-734F17C16D8D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内蒙基地预实验采样表</vt:lpstr>
      <vt:lpstr>样本清单</vt:lpstr>
      <vt:lpstr>PCR扩增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胡灿坤(Cankun Hu)</cp:lastModifiedBy>
  <cp:lastPrinted>2022-05-23T06:36:58Z</cp:lastPrinted>
  <dcterms:created xsi:type="dcterms:W3CDTF">2022-05-16T08:34:02Z</dcterms:created>
  <dcterms:modified xsi:type="dcterms:W3CDTF">2022-09-23T08:01:03Z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AD9311F7BF294DFB8159591E2E0CCEA5</vt:lpwstr>
  </property>
  <property fmtid="{D5CDD505-2E9C-101B-9397-08002B2CF9AE}" pid="3" name="KSOProductBuildVer">
    <vt:lpwstr>2052-11.1.0.11365</vt:lpwstr>
  </property>
</Properties>
</file>